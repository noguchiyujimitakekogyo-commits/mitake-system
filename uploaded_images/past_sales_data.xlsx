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野口裕二\OneDrive - 三岳工業　株式会社\デスクトップ\"/>
    </mc:Choice>
  </mc:AlternateContent>
  <xr:revisionPtr revIDLastSave="0" documentId="8_{346F3391-D0BB-4E0A-9335-553E41DEDA45}" xr6:coauthVersionLast="47" xr6:coauthVersionMax="47" xr10:uidLastSave="{00000000-0000-0000-0000-000000000000}"/>
  <bookViews>
    <workbookView xWindow="4800" yWindow="1270" windowWidth="14490" windowHeight="7330" xr2:uid="{61979298-D98B-4BAF-99C5-151034762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9" i="1" l="1"/>
  <c r="G158" i="1"/>
  <c r="F173" i="1" l="1"/>
  <c r="F257" i="1" l="1"/>
  <c r="F256" i="1"/>
  <c r="F254" i="1"/>
  <c r="F253" i="1"/>
  <c r="F252" i="1"/>
  <c r="F251" i="1"/>
  <c r="F250" i="1"/>
  <c r="F249" i="1"/>
  <c r="F233" i="1"/>
  <c r="F232" i="1"/>
  <c r="F231" i="1"/>
  <c r="F230" i="1"/>
  <c r="F229" i="1"/>
  <c r="F228" i="1"/>
  <c r="F227" i="1"/>
  <c r="F226" i="1"/>
  <c r="F225" i="1"/>
  <c r="F209" i="1"/>
  <c r="F208" i="1"/>
  <c r="F207" i="1"/>
  <c r="F206" i="1"/>
  <c r="F205" i="1"/>
  <c r="F204" i="1"/>
  <c r="F203" i="1"/>
  <c r="F202" i="1"/>
  <c r="F201" i="1"/>
  <c r="F181" i="1"/>
  <c r="F179" i="1"/>
  <c r="F178" i="1"/>
  <c r="F177" i="1"/>
  <c r="F176" i="1"/>
  <c r="F175" i="1"/>
  <c r="F174" i="1"/>
  <c r="AI247" i="1" l="1"/>
  <c r="AZ158" i="1" l="1"/>
  <c r="AW158" i="1"/>
  <c r="AT158" i="1"/>
  <c r="AQ158" i="1"/>
  <c r="AN158" i="1"/>
  <c r="AK158" i="1"/>
  <c r="AH158" i="1"/>
  <c r="AE158" i="1"/>
  <c r="AB158" i="1"/>
  <c r="Y158" i="1"/>
  <c r="V158" i="1"/>
  <c r="AY157" i="1"/>
  <c r="AX157" i="1"/>
  <c r="AV157" i="1"/>
  <c r="AU157" i="1"/>
  <c r="AS157" i="1"/>
  <c r="AR157" i="1"/>
  <c r="AP157" i="1"/>
  <c r="AO157" i="1"/>
  <c r="AM157" i="1"/>
  <c r="AL157" i="1"/>
  <c r="AJ157" i="1"/>
  <c r="AI157" i="1"/>
  <c r="AG157" i="1"/>
  <c r="AF157" i="1"/>
  <c r="AD157" i="1"/>
  <c r="AC157" i="1"/>
  <c r="AA157" i="1"/>
  <c r="Z157" i="1"/>
  <c r="X157" i="1"/>
  <c r="W157" i="1"/>
  <c r="U157" i="1"/>
  <c r="T157" i="1"/>
  <c r="AY150" i="1"/>
  <c r="AX150" i="1"/>
  <c r="AV150" i="1"/>
  <c r="AU150" i="1"/>
  <c r="AS150" i="1"/>
  <c r="AR150" i="1"/>
  <c r="AP150" i="1"/>
  <c r="AO150" i="1"/>
  <c r="AM150" i="1"/>
  <c r="AL150" i="1"/>
  <c r="AJ150" i="1"/>
  <c r="AI150" i="1"/>
  <c r="AG150" i="1"/>
  <c r="AF150" i="1"/>
  <c r="AD150" i="1"/>
  <c r="AC150" i="1"/>
  <c r="AA150" i="1"/>
  <c r="Z150" i="1"/>
  <c r="X150" i="1"/>
  <c r="W150" i="1"/>
  <c r="U150" i="1"/>
  <c r="T150" i="1"/>
  <c r="AY143" i="1"/>
  <c r="AX143" i="1"/>
  <c r="AV143" i="1"/>
  <c r="AU143" i="1"/>
  <c r="AS143" i="1"/>
  <c r="AR143" i="1"/>
  <c r="AP143" i="1"/>
  <c r="AO143" i="1"/>
  <c r="AM143" i="1"/>
  <c r="AL143" i="1"/>
  <c r="AJ143" i="1"/>
  <c r="AI143" i="1"/>
  <c r="AG143" i="1"/>
  <c r="AF143" i="1"/>
  <c r="AD143" i="1"/>
  <c r="AC143" i="1"/>
  <c r="AA143" i="1"/>
  <c r="Z143" i="1"/>
  <c r="X143" i="1"/>
  <c r="W143" i="1"/>
  <c r="U143" i="1"/>
  <c r="T143" i="1"/>
  <c r="AC137" i="1"/>
  <c r="Z137" i="1"/>
  <c r="W137" i="1"/>
  <c r="AY137" i="1"/>
  <c r="AX137" i="1"/>
  <c r="AV137" i="1"/>
  <c r="AU137" i="1"/>
  <c r="AS137" i="1"/>
  <c r="AR137" i="1"/>
  <c r="AP137" i="1"/>
  <c r="AO137" i="1"/>
  <c r="AM137" i="1"/>
  <c r="AL137" i="1"/>
  <c r="AJ137" i="1"/>
  <c r="AI137" i="1"/>
  <c r="AG137" i="1"/>
  <c r="AF137" i="1"/>
  <c r="AD137" i="1"/>
  <c r="AA137" i="1"/>
  <c r="X137" i="1"/>
  <c r="U137" i="1"/>
  <c r="T137" i="1"/>
  <c r="AR247" i="1"/>
  <c r="AO247" i="1"/>
  <c r="AL247" i="1"/>
  <c r="AF247" i="1"/>
  <c r="AC247" i="1"/>
  <c r="Z247" i="1"/>
  <c r="W247" i="1"/>
  <c r="T247" i="1"/>
  <c r="Q247" i="1"/>
  <c r="N247" i="1"/>
  <c r="AR223" i="1"/>
  <c r="AO223" i="1"/>
  <c r="AL223" i="1"/>
  <c r="AI223" i="1"/>
  <c r="AF223" i="1"/>
  <c r="AC223" i="1"/>
  <c r="Z223" i="1"/>
  <c r="W223" i="1"/>
  <c r="T223" i="1"/>
  <c r="Q223" i="1"/>
  <c r="N223" i="1"/>
  <c r="AR199" i="1"/>
  <c r="AO199" i="1"/>
  <c r="AL199" i="1"/>
  <c r="AI199" i="1"/>
  <c r="AF199" i="1"/>
  <c r="AC199" i="1"/>
  <c r="Z199" i="1"/>
  <c r="W199" i="1"/>
  <c r="T199" i="1"/>
  <c r="Q199" i="1"/>
  <c r="N199" i="1"/>
  <c r="AR171" i="1"/>
  <c r="AO171" i="1"/>
  <c r="AL171" i="1"/>
  <c r="AI171" i="1"/>
  <c r="AF171" i="1"/>
  <c r="AC171" i="1"/>
  <c r="Z171" i="1"/>
  <c r="W171" i="1"/>
  <c r="T171" i="1"/>
  <c r="Q171" i="1"/>
  <c r="N171" i="1"/>
  <c r="AQ246" i="1"/>
  <c r="AP246" i="1"/>
  <c r="AN246" i="1"/>
  <c r="AM246" i="1"/>
  <c r="AK246" i="1"/>
  <c r="AJ246" i="1"/>
  <c r="AH246" i="1"/>
  <c r="AG246" i="1"/>
  <c r="AE246" i="1"/>
  <c r="AD246" i="1"/>
  <c r="AB246" i="1"/>
  <c r="AA246" i="1"/>
  <c r="Y246" i="1"/>
  <c r="X246" i="1"/>
  <c r="V246" i="1"/>
  <c r="U246" i="1"/>
  <c r="S246" i="1"/>
  <c r="R246" i="1"/>
  <c r="P246" i="1"/>
  <c r="O246" i="1"/>
  <c r="M246" i="1"/>
  <c r="L246" i="1"/>
  <c r="AQ222" i="1"/>
  <c r="AP222" i="1"/>
  <c r="AN222" i="1"/>
  <c r="AM222" i="1"/>
  <c r="AK222" i="1"/>
  <c r="AJ222" i="1"/>
  <c r="AH222" i="1"/>
  <c r="AG222" i="1"/>
  <c r="AE222" i="1"/>
  <c r="AD222" i="1"/>
  <c r="AB222" i="1"/>
  <c r="AA222" i="1"/>
  <c r="Y222" i="1"/>
  <c r="X222" i="1"/>
  <c r="V222" i="1"/>
  <c r="U222" i="1"/>
  <c r="S222" i="1"/>
  <c r="R222" i="1"/>
  <c r="P222" i="1"/>
  <c r="O222" i="1"/>
  <c r="M222" i="1"/>
  <c r="L222" i="1"/>
  <c r="E220" i="1"/>
  <c r="E196" i="1"/>
  <c r="AQ198" i="1"/>
  <c r="AP198" i="1"/>
  <c r="AN198" i="1"/>
  <c r="AM198" i="1"/>
  <c r="AK198" i="1"/>
  <c r="AJ198" i="1"/>
  <c r="AH198" i="1"/>
  <c r="AG198" i="1"/>
  <c r="AE198" i="1"/>
  <c r="AD198" i="1"/>
  <c r="AB198" i="1"/>
  <c r="AA198" i="1"/>
  <c r="Y198" i="1"/>
  <c r="X198" i="1"/>
  <c r="V198" i="1"/>
  <c r="U198" i="1"/>
  <c r="S198" i="1"/>
  <c r="R198" i="1"/>
  <c r="P198" i="1"/>
  <c r="O198" i="1"/>
  <c r="M198" i="1"/>
  <c r="L198" i="1"/>
  <c r="E168" i="1"/>
  <c r="AP170" i="1"/>
  <c r="AQ170" i="1"/>
  <c r="AN170" i="1"/>
  <c r="AM170" i="1"/>
  <c r="AK170" i="1"/>
  <c r="AJ170" i="1"/>
  <c r="AH170" i="1"/>
  <c r="AG170" i="1"/>
  <c r="AE170" i="1"/>
  <c r="AD170" i="1"/>
  <c r="AB170" i="1"/>
  <c r="AA170" i="1"/>
  <c r="Y170" i="1"/>
  <c r="X170" i="1"/>
  <c r="V170" i="1"/>
  <c r="U170" i="1"/>
  <c r="S170" i="1"/>
  <c r="R170" i="1"/>
  <c r="P170" i="1"/>
  <c r="O170" i="1"/>
  <c r="M170" i="1"/>
  <c r="L170" i="1"/>
  <c r="G241" i="1"/>
  <c r="AQ157" i="1" l="1"/>
  <c r="AK143" i="1"/>
  <c r="AK150" i="1"/>
  <c r="V157" i="1"/>
  <c r="AQ150" i="1"/>
  <c r="AT157" i="1"/>
  <c r="V137" i="1"/>
  <c r="Y143" i="1"/>
  <c r="AT137" i="1"/>
  <c r="AQ143" i="1"/>
  <c r="AZ157" i="1"/>
  <c r="AW150" i="1"/>
  <c r="V150" i="1"/>
  <c r="Y150" i="1"/>
  <c r="AB150" i="1"/>
  <c r="AH157" i="1"/>
  <c r="AZ137" i="1"/>
  <c r="AH150" i="1"/>
  <c r="AN137" i="1"/>
  <c r="AK157" i="1"/>
  <c r="V143" i="1"/>
  <c r="AN143" i="1"/>
  <c r="AN150" i="1"/>
  <c r="AQ137" i="1"/>
  <c r="AN157" i="1"/>
  <c r="AT150" i="1"/>
  <c r="AE143" i="1"/>
  <c r="AH137" i="1"/>
  <c r="Y157" i="1"/>
  <c r="AB157" i="1"/>
  <c r="AW143" i="1"/>
  <c r="AB143" i="1"/>
  <c r="AW137" i="1"/>
  <c r="AT143" i="1"/>
  <c r="AE150" i="1"/>
  <c r="AE157" i="1"/>
  <c r="AH143" i="1"/>
  <c r="AZ143" i="1"/>
  <c r="AW157" i="1"/>
  <c r="AK137" i="1"/>
  <c r="AZ150" i="1"/>
  <c r="AE137" i="1"/>
  <c r="AB137" i="1"/>
  <c r="Y137" i="1"/>
  <c r="AF246" i="1"/>
  <c r="AF222" i="1"/>
  <c r="N222" i="1"/>
  <c r="N198" i="1"/>
  <c r="AI246" i="1"/>
  <c r="Z198" i="1"/>
  <c r="AF198" i="1"/>
  <c r="T198" i="1"/>
  <c r="W246" i="1"/>
  <c r="T246" i="1"/>
  <c r="AO222" i="1"/>
  <c r="Z246" i="1"/>
  <c r="AR198" i="1"/>
  <c r="AC198" i="1"/>
  <c r="AC222" i="1"/>
  <c r="N246" i="1"/>
  <c r="AI222" i="1"/>
  <c r="AL246" i="1"/>
  <c r="W198" i="1"/>
  <c r="T222" i="1"/>
  <c r="AR222" i="1"/>
  <c r="AC246" i="1"/>
  <c r="Q198" i="1"/>
  <c r="Q222" i="1"/>
  <c r="AL222" i="1"/>
  <c r="AO246" i="1"/>
  <c r="AO198" i="1"/>
  <c r="Z222" i="1"/>
  <c r="Q246" i="1"/>
  <c r="AI198" i="1"/>
  <c r="AL198" i="1"/>
  <c r="W222" i="1"/>
  <c r="AR246" i="1"/>
  <c r="W170" i="1"/>
  <c r="Q170" i="1"/>
  <c r="N170" i="1"/>
  <c r="AC170" i="1"/>
  <c r="T170" i="1"/>
  <c r="AR170" i="1"/>
  <c r="AO170" i="1"/>
  <c r="AL170" i="1"/>
  <c r="AI170" i="1"/>
  <c r="AF170" i="1"/>
  <c r="Z170" i="1"/>
  <c r="G197" i="1"/>
  <c r="G169" i="1" l="1"/>
  <c r="G221" i="1"/>
  <c r="G245" i="1" l="1"/>
  <c r="K244" i="1"/>
  <c r="F245" i="1"/>
  <c r="F247" i="1" s="1"/>
  <c r="E244" i="1"/>
  <c r="E246" i="1" s="1"/>
  <c r="AZ155" i="1"/>
  <c r="AW155" i="1"/>
  <c r="AT155" i="1"/>
  <c r="AQ155" i="1"/>
  <c r="AN155" i="1"/>
  <c r="AK155" i="1"/>
  <c r="AH155" i="1"/>
  <c r="AE155" i="1"/>
  <c r="AB155" i="1"/>
  <c r="Y155" i="1"/>
  <c r="V155" i="1"/>
  <c r="S155" i="1"/>
  <c r="G155" i="1"/>
  <c r="F154" i="1"/>
  <c r="E154" i="1"/>
  <c r="G127" i="1"/>
  <c r="AZ127" i="1"/>
  <c r="AW127" i="1"/>
  <c r="AT127" i="1"/>
  <c r="AQ127" i="1"/>
  <c r="AN127" i="1"/>
  <c r="AK127" i="1"/>
  <c r="AH127" i="1"/>
  <c r="AE127" i="1"/>
  <c r="AB127" i="1"/>
  <c r="Y127" i="1"/>
  <c r="V127" i="1"/>
  <c r="S127" i="1"/>
  <c r="F126" i="1"/>
  <c r="E126" i="1"/>
  <c r="AZ111" i="1"/>
  <c r="AW111" i="1"/>
  <c r="AT111" i="1"/>
  <c r="AQ111" i="1"/>
  <c r="AN111" i="1"/>
  <c r="AK111" i="1"/>
  <c r="AH111" i="1"/>
  <c r="AE111" i="1"/>
  <c r="AB111" i="1"/>
  <c r="Y111" i="1"/>
  <c r="V111" i="1"/>
  <c r="S111" i="1"/>
  <c r="AZ95" i="1"/>
  <c r="AW95" i="1"/>
  <c r="AT95" i="1"/>
  <c r="AQ95" i="1"/>
  <c r="AN95" i="1"/>
  <c r="AK95" i="1"/>
  <c r="AH95" i="1"/>
  <c r="AE95" i="1"/>
  <c r="AB95" i="1"/>
  <c r="Y95" i="1"/>
  <c r="V95" i="1"/>
  <c r="S95" i="1"/>
  <c r="AZ79" i="1"/>
  <c r="AW79" i="1"/>
  <c r="AT79" i="1"/>
  <c r="AQ79" i="1"/>
  <c r="AN79" i="1"/>
  <c r="AK79" i="1"/>
  <c r="AH79" i="1"/>
  <c r="AE79" i="1"/>
  <c r="AB79" i="1"/>
  <c r="Y79" i="1"/>
  <c r="V79" i="1"/>
  <c r="S79" i="1"/>
  <c r="AZ63" i="1"/>
  <c r="AW63" i="1"/>
  <c r="AT63" i="1"/>
  <c r="AQ63" i="1"/>
  <c r="AN63" i="1"/>
  <c r="AK63" i="1"/>
  <c r="AH63" i="1"/>
  <c r="AE63" i="1"/>
  <c r="AB63" i="1"/>
  <c r="Y63" i="1"/>
  <c r="V63" i="1"/>
  <c r="S63" i="1"/>
  <c r="AZ47" i="1"/>
  <c r="AW47" i="1"/>
  <c r="AT47" i="1"/>
  <c r="AQ47" i="1"/>
  <c r="AN47" i="1"/>
  <c r="AK47" i="1"/>
  <c r="AH47" i="1"/>
  <c r="AE47" i="1"/>
  <c r="AB47" i="1"/>
  <c r="Y47" i="1"/>
  <c r="V47" i="1"/>
  <c r="S47" i="1"/>
  <c r="AZ31" i="1"/>
  <c r="AW31" i="1"/>
  <c r="AT31" i="1"/>
  <c r="AQ31" i="1"/>
  <c r="AN31" i="1"/>
  <c r="AK31" i="1"/>
  <c r="AH31" i="1"/>
  <c r="AE31" i="1"/>
  <c r="AB31" i="1"/>
  <c r="Y31" i="1"/>
  <c r="V31" i="1"/>
  <c r="S31" i="1"/>
  <c r="G111" i="1"/>
  <c r="F110" i="1"/>
  <c r="E110" i="1"/>
  <c r="G95" i="1"/>
  <c r="F94" i="1"/>
  <c r="E94" i="1"/>
  <c r="G79" i="1"/>
  <c r="F78" i="1"/>
  <c r="E78" i="1"/>
  <c r="G63" i="1"/>
  <c r="F62" i="1"/>
  <c r="E62" i="1"/>
  <c r="G47" i="1"/>
  <c r="F46" i="1"/>
  <c r="E46" i="1"/>
  <c r="G31" i="1"/>
  <c r="F30" i="1"/>
  <c r="E30" i="1"/>
  <c r="AZ15" i="1"/>
  <c r="AW15" i="1"/>
  <c r="AT15" i="1"/>
  <c r="AQ15" i="1"/>
  <c r="AN15" i="1"/>
  <c r="G15" i="1"/>
  <c r="F14" i="1"/>
  <c r="E14" i="1"/>
  <c r="AK15" i="1"/>
  <c r="AH15" i="1"/>
  <c r="AE15" i="1"/>
  <c r="AB15" i="1"/>
  <c r="Y15" i="1"/>
  <c r="V15" i="1"/>
  <c r="S15" i="1"/>
  <c r="G244" i="1" l="1"/>
  <c r="G110" i="1"/>
  <c r="G94" i="1"/>
  <c r="G78" i="1"/>
  <c r="G62" i="1"/>
  <c r="G46" i="1"/>
  <c r="G30" i="1"/>
  <c r="G14" i="1"/>
  <c r="AR244" i="1" l="1"/>
  <c r="AO244" i="1"/>
  <c r="AL244" i="1"/>
  <c r="AI244" i="1"/>
  <c r="AF244" i="1"/>
  <c r="AC244" i="1"/>
  <c r="Z244" i="1"/>
  <c r="W244" i="1"/>
  <c r="T244" i="1"/>
  <c r="Q244" i="1"/>
  <c r="N244" i="1"/>
  <c r="AR220" i="1"/>
  <c r="AO220" i="1"/>
  <c r="AL220" i="1"/>
  <c r="AI220" i="1"/>
  <c r="AF220" i="1"/>
  <c r="AC220" i="1"/>
  <c r="Z220" i="1"/>
  <c r="W220" i="1"/>
  <c r="T220" i="1"/>
  <c r="Q220" i="1"/>
  <c r="N220" i="1"/>
  <c r="K220" i="1"/>
  <c r="F221" i="1"/>
  <c r="F197" i="1"/>
  <c r="F168" i="1"/>
  <c r="AR196" i="1"/>
  <c r="AO196" i="1"/>
  <c r="AL196" i="1"/>
  <c r="AI196" i="1"/>
  <c r="AF196" i="1"/>
  <c r="AC196" i="1"/>
  <c r="Z196" i="1"/>
  <c r="W196" i="1"/>
  <c r="T196" i="1"/>
  <c r="Q196" i="1"/>
  <c r="N196" i="1"/>
  <c r="K196" i="1"/>
  <c r="T168" i="1"/>
  <c r="Q168" i="1"/>
  <c r="N168" i="1"/>
  <c r="K168" i="1"/>
  <c r="AR168" i="1"/>
  <c r="AO168" i="1"/>
  <c r="AL168" i="1"/>
  <c r="AI168" i="1"/>
  <c r="AF168" i="1"/>
  <c r="AC168" i="1"/>
  <c r="Z168" i="1"/>
  <c r="W168" i="1"/>
  <c r="G154" i="1"/>
  <c r="G147" i="1"/>
  <c r="G140" i="1"/>
  <c r="G134" i="1"/>
  <c r="G126" i="1"/>
  <c r="G123" i="1"/>
  <c r="G120" i="1"/>
  <c r="G117" i="1"/>
  <c r="G107" i="1"/>
  <c r="G104" i="1"/>
  <c r="G101" i="1"/>
  <c r="G91" i="1"/>
  <c r="G88" i="1"/>
  <c r="G85" i="1"/>
  <c r="G75" i="1"/>
  <c r="G72" i="1"/>
  <c r="G69" i="1"/>
  <c r="G53" i="1"/>
  <c r="G37" i="1"/>
  <c r="AZ22" i="1"/>
  <c r="AW22" i="1"/>
  <c r="AT22" i="1"/>
  <c r="AQ22" i="1"/>
  <c r="AN22" i="1"/>
  <c r="AK22" i="1"/>
  <c r="AH22" i="1"/>
  <c r="AE22" i="1"/>
  <c r="AB22" i="1"/>
  <c r="Y22" i="1"/>
  <c r="V22" i="1"/>
  <c r="S22" i="1"/>
  <c r="G21" i="1"/>
  <c r="AZ12" i="1"/>
  <c r="AW12" i="1"/>
  <c r="AT12" i="1"/>
  <c r="AQ12" i="1"/>
  <c r="AN12" i="1"/>
  <c r="AK12" i="1"/>
  <c r="AH12" i="1"/>
  <c r="AE12" i="1"/>
  <c r="AB12" i="1"/>
  <c r="Y12" i="1"/>
  <c r="V12" i="1"/>
  <c r="S12" i="1"/>
  <c r="AZ9" i="1"/>
  <c r="AW9" i="1"/>
  <c r="AT9" i="1"/>
  <c r="AQ9" i="1"/>
  <c r="AN9" i="1"/>
  <c r="AK9" i="1"/>
  <c r="AH9" i="1"/>
  <c r="AE9" i="1"/>
  <c r="AB9" i="1"/>
  <c r="Y9" i="1"/>
  <c r="V9" i="1"/>
  <c r="S9" i="1"/>
  <c r="AZ6" i="1"/>
  <c r="AW6" i="1"/>
  <c r="AT6" i="1"/>
  <c r="AQ6" i="1"/>
  <c r="AN6" i="1"/>
  <c r="AK6" i="1"/>
  <c r="AH6" i="1"/>
  <c r="AE6" i="1"/>
  <c r="AB6" i="1"/>
  <c r="Y6" i="1"/>
  <c r="V6" i="1"/>
  <c r="S6" i="1"/>
  <c r="F5" i="1"/>
  <c r="E5" i="1"/>
  <c r="G168" i="1" l="1"/>
  <c r="G220" i="1"/>
  <c r="G196" i="1"/>
  <c r="G5" i="1"/>
</calcChain>
</file>

<file path=xl/sharedStrings.xml><?xml version="1.0" encoding="utf-8"?>
<sst xmlns="http://schemas.openxmlformats.org/spreadsheetml/2006/main" count="1697" uniqueCount="195">
  <si>
    <t>ライフフーズ</t>
    <phoneticPr fontId="1"/>
  </si>
  <si>
    <t>純売上額</t>
  </si>
  <si>
    <t>粗利額</t>
  </si>
  <si>
    <t>粗利率</t>
    <rPh sb="0" eb="2">
      <t>アラリ</t>
    </rPh>
    <rPh sb="2" eb="3">
      <t>リツ</t>
    </rPh>
    <phoneticPr fontId="1"/>
  </si>
  <si>
    <t>9月</t>
    <rPh sb="1" eb="2">
      <t>ツキ</t>
    </rPh>
    <phoneticPr fontId="1"/>
  </si>
  <si>
    <t>10月</t>
    <rPh sb="2" eb="3">
      <t>ツキ</t>
    </rPh>
    <phoneticPr fontId="1"/>
  </si>
  <si>
    <t>11月</t>
    <rPh sb="2" eb="3">
      <t>ツキ</t>
    </rPh>
    <phoneticPr fontId="1"/>
  </si>
  <si>
    <t>12月</t>
    <rPh sb="2" eb="3">
      <t>ツキ</t>
    </rPh>
    <phoneticPr fontId="1"/>
  </si>
  <si>
    <t>1月</t>
    <rPh sb="1" eb="2">
      <t>ツキ</t>
    </rPh>
    <phoneticPr fontId="1"/>
  </si>
  <si>
    <t>2月</t>
    <rPh sb="1" eb="2">
      <t>ツキ</t>
    </rPh>
    <phoneticPr fontId="1"/>
  </si>
  <si>
    <t>3月</t>
    <rPh sb="1" eb="2">
      <t>ツキ</t>
    </rPh>
    <phoneticPr fontId="1"/>
  </si>
  <si>
    <t>4月</t>
    <rPh sb="1" eb="2">
      <t>ツキ</t>
    </rPh>
    <phoneticPr fontId="1"/>
  </si>
  <si>
    <t>5月</t>
    <rPh sb="1" eb="2">
      <t>ツキ</t>
    </rPh>
    <phoneticPr fontId="1"/>
  </si>
  <si>
    <t>6月</t>
    <rPh sb="1" eb="2">
      <t>ツキ</t>
    </rPh>
    <phoneticPr fontId="1"/>
  </si>
  <si>
    <t>7月</t>
    <rPh sb="1" eb="2">
      <t>ツキ</t>
    </rPh>
    <phoneticPr fontId="1"/>
  </si>
  <si>
    <t>8月</t>
    <rPh sb="1" eb="2">
      <t>ツキ</t>
    </rPh>
    <phoneticPr fontId="1"/>
  </si>
  <si>
    <t>売上</t>
    <rPh sb="0" eb="2">
      <t>ウリアゲ</t>
    </rPh>
    <phoneticPr fontId="1"/>
  </si>
  <si>
    <t>粗利</t>
    <rPh sb="0" eb="2">
      <t>アラリ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</si>
  <si>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53期</t>
    </r>
    <r>
      <rPr>
        <sz val="11"/>
        <color theme="1"/>
        <rFont val="游ゴシック"/>
        <family val="2"/>
        <charset val="128"/>
        <scheme val="minor"/>
      </rPr>
      <t>（2022.9～2023.8）</t>
    </r>
    <rPh sb="2" eb="3">
      <t>キ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</si>
  <si>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54期</t>
    </r>
    <r>
      <rPr>
        <sz val="11"/>
        <color theme="1"/>
        <rFont val="游ゴシック"/>
        <family val="2"/>
        <charset val="128"/>
        <scheme val="minor"/>
      </rPr>
      <t>（2023.9～2024.8）</t>
    </r>
    <rPh sb="2" eb="3">
      <t>キ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</si>
  <si>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55期</t>
    </r>
    <r>
      <rPr>
        <sz val="11"/>
        <color theme="1"/>
        <rFont val="游ゴシック"/>
        <family val="2"/>
        <charset val="128"/>
        <scheme val="minor"/>
      </rPr>
      <t>（2024.9～2025.8）</t>
    </r>
    <rPh sb="2" eb="3">
      <t>キ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</si>
  <si>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56期</t>
    </r>
    <r>
      <rPr>
        <sz val="11"/>
        <color theme="1"/>
        <rFont val="游ゴシック"/>
        <family val="2"/>
        <charset val="128"/>
        <scheme val="minor"/>
      </rPr>
      <t>（2025.9～2026.8）</t>
    </r>
    <rPh sb="2" eb="3">
      <t>キ</t>
    </rPh>
    <phoneticPr fontId="1"/>
  </si>
  <si>
    <t>嘉文</t>
    <rPh sb="0" eb="2">
      <t>カモン</t>
    </rPh>
    <phoneticPr fontId="1"/>
  </si>
  <si>
    <t>穂波</t>
    <rPh sb="0" eb="2">
      <t>ホナミ</t>
    </rPh>
    <phoneticPr fontId="1"/>
  </si>
  <si>
    <t>ブラス</t>
    <phoneticPr fontId="1"/>
  </si>
  <si>
    <t>若鯱家</t>
    <rPh sb="0" eb="3">
      <t>ワカシャチヤ</t>
    </rPh>
    <phoneticPr fontId="1"/>
  </si>
  <si>
    <t>JR東海FS</t>
    <rPh sb="2" eb="4">
      <t>トウカイ</t>
    </rPh>
    <phoneticPr fontId="1"/>
  </si>
  <si>
    <t>風来坊</t>
    <rPh sb="0" eb="3">
      <t>フウライボウ</t>
    </rPh>
    <phoneticPr fontId="1"/>
  </si>
  <si>
    <t>その他</t>
    <rPh sb="2" eb="3">
      <t>タ</t>
    </rPh>
    <phoneticPr fontId="1"/>
  </si>
  <si>
    <t>レ・ヴァン、木曽路、JIS　他</t>
    <rPh sb="6" eb="9">
      <t>キソジ</t>
    </rPh>
    <rPh sb="14" eb="15">
      <t>ホカ</t>
    </rPh>
    <phoneticPr fontId="1"/>
  </si>
  <si>
    <t>レ・ヴァン、木曽路、グラップ、あさくま　他</t>
    <rPh sb="6" eb="9">
      <t>キソジ</t>
    </rPh>
    <rPh sb="20" eb="21">
      <t>ホカ</t>
    </rPh>
    <phoneticPr fontId="1"/>
  </si>
  <si>
    <t>木曾路、他</t>
    <rPh sb="0" eb="3">
      <t>キソジ</t>
    </rPh>
    <rPh sb="4" eb="5">
      <t>ホカ</t>
    </rPh>
    <phoneticPr fontId="1"/>
  </si>
  <si>
    <t>・53～55期の各件数</t>
    <rPh sb="6" eb="7">
      <t>キ</t>
    </rPh>
    <rPh sb="8" eb="9">
      <t>カク</t>
    </rPh>
    <rPh sb="9" eb="11">
      <t>ケンスウ</t>
    </rPh>
    <phoneticPr fontId="1"/>
  </si>
  <si>
    <t>・各顧客　物販金額</t>
    <rPh sb="1" eb="2">
      <t>カク</t>
    </rPh>
    <rPh sb="2" eb="4">
      <t>コキャク</t>
    </rPh>
    <rPh sb="5" eb="7">
      <t>ブッパン</t>
    </rPh>
    <rPh sb="7" eb="9">
      <t>キンガク</t>
    </rPh>
    <phoneticPr fontId="1"/>
  </si>
  <si>
    <t>・その他から深堀出来そうな客先をピックアップ</t>
    <rPh sb="3" eb="4">
      <t>タ</t>
    </rPh>
    <rPh sb="6" eb="10">
      <t>フカボリデキ</t>
    </rPh>
    <rPh sb="13" eb="15">
      <t>キャクサキ</t>
    </rPh>
    <phoneticPr fontId="1"/>
  </si>
  <si>
    <t>・各顧客売上で何の修理が多いか</t>
    <rPh sb="1" eb="4">
      <t>カクコキャク</t>
    </rPh>
    <rPh sb="4" eb="6">
      <t>ウリアゲ</t>
    </rPh>
    <rPh sb="7" eb="8">
      <t>ナン</t>
    </rPh>
    <rPh sb="9" eb="11">
      <t>シュウリ</t>
    </rPh>
    <rPh sb="12" eb="13">
      <t>オオ</t>
    </rPh>
    <phoneticPr fontId="1"/>
  </si>
  <si>
    <t>合計（修理のみ）</t>
    <rPh sb="0" eb="2">
      <t>ゴウケイ</t>
    </rPh>
    <rPh sb="3" eb="5">
      <t>シュウリ</t>
    </rPh>
    <phoneticPr fontId="1"/>
  </si>
  <si>
    <t>R合計</t>
    <rPh sb="1" eb="3">
      <t>ゴウケイ</t>
    </rPh>
    <phoneticPr fontId="1"/>
  </si>
  <si>
    <t>総売上</t>
    <rPh sb="0" eb="3">
      <t>ソウウリアゲ</t>
    </rPh>
    <phoneticPr fontId="1"/>
  </si>
  <si>
    <t>総粗利</t>
    <rPh sb="0" eb="3">
      <t>ソウアラリ</t>
    </rPh>
    <phoneticPr fontId="1"/>
  </si>
  <si>
    <t>（件数合計）</t>
    <rPh sb="1" eb="3">
      <t>ケンスウ</t>
    </rPh>
    <rPh sb="3" eb="5">
      <t>ゴウケイ</t>
    </rPh>
    <phoneticPr fontId="1"/>
  </si>
  <si>
    <t>メーカー</t>
    <phoneticPr fontId="1"/>
  </si>
  <si>
    <t>自社</t>
    <rPh sb="0" eb="2">
      <t>ジシャ</t>
    </rPh>
    <phoneticPr fontId="1"/>
  </si>
  <si>
    <t>目標売上</t>
    <rPh sb="0" eb="4">
      <t>モクヒョウウリアゲ</t>
    </rPh>
    <phoneticPr fontId="1"/>
  </si>
  <si>
    <t>目標粗利</t>
    <rPh sb="0" eb="4">
      <t>モクヒョウアラリ</t>
    </rPh>
    <phoneticPr fontId="1"/>
  </si>
  <si>
    <t>利益率</t>
    <rPh sb="0" eb="3">
      <t>リエキリツ</t>
    </rPh>
    <phoneticPr fontId="1"/>
  </si>
  <si>
    <t>※1月から修理売上落としている</t>
    <rPh sb="2" eb="3">
      <t>ガツ</t>
    </rPh>
    <rPh sb="5" eb="7">
      <t>シュウリ</t>
    </rPh>
    <rPh sb="7" eb="9">
      <t>ウリアゲ</t>
    </rPh>
    <rPh sb="9" eb="10">
      <t>オ</t>
    </rPh>
    <phoneticPr fontId="1"/>
  </si>
  <si>
    <t>JR東海</t>
    <rPh sb="2" eb="4">
      <t>トウカイ</t>
    </rPh>
    <phoneticPr fontId="1"/>
  </si>
  <si>
    <t>製氷機</t>
    <rPh sb="0" eb="3">
      <t>セイヒョウキ</t>
    </rPh>
    <phoneticPr fontId="1"/>
  </si>
  <si>
    <t>焼物器</t>
    <rPh sb="0" eb="3">
      <t>ヤキモノキ</t>
    </rPh>
    <phoneticPr fontId="1"/>
  </si>
  <si>
    <t>空調機</t>
    <rPh sb="0" eb="3">
      <t>クウチョウキ</t>
    </rPh>
    <phoneticPr fontId="1"/>
  </si>
  <si>
    <t>ガスコンロ</t>
    <phoneticPr fontId="1"/>
  </si>
  <si>
    <t>台下・縦型</t>
    <rPh sb="0" eb="2">
      <t>ダイシタ</t>
    </rPh>
    <rPh sb="3" eb="5">
      <t>タテガタ</t>
    </rPh>
    <phoneticPr fontId="1"/>
  </si>
  <si>
    <t>プレハブ</t>
    <phoneticPr fontId="1"/>
  </si>
  <si>
    <t>ｳｫｰﾏｰ</t>
    <phoneticPr fontId="1"/>
  </si>
  <si>
    <t>電磁調理器</t>
    <rPh sb="0" eb="5">
      <t>デンジチョウリキ</t>
    </rPh>
    <phoneticPr fontId="1"/>
  </si>
  <si>
    <t>乾燥器</t>
    <rPh sb="0" eb="3">
      <t>カンソウキ</t>
    </rPh>
    <phoneticPr fontId="1"/>
  </si>
  <si>
    <t>給湯器</t>
    <rPh sb="0" eb="3">
      <t>キュウトウキ</t>
    </rPh>
    <phoneticPr fontId="1"/>
  </si>
  <si>
    <t>ﾌﾗｲﾔｰ</t>
    <phoneticPr fontId="1"/>
  </si>
  <si>
    <t>冷蔵庫</t>
    <rPh sb="0" eb="3">
      <t>レイゾウコ</t>
    </rPh>
    <phoneticPr fontId="1"/>
  </si>
  <si>
    <t>ｻﾗﾏﾝﾀﾞｰ</t>
    <phoneticPr fontId="1"/>
  </si>
  <si>
    <t>冷水機</t>
    <rPh sb="0" eb="3">
      <t>レイスイキ</t>
    </rPh>
    <phoneticPr fontId="1"/>
  </si>
  <si>
    <t>炊飯器</t>
    <rPh sb="0" eb="3">
      <t>スイハンキ</t>
    </rPh>
    <phoneticPr fontId="1"/>
  </si>
  <si>
    <t>板金</t>
    <rPh sb="0" eb="2">
      <t>バンキン</t>
    </rPh>
    <phoneticPr fontId="1"/>
  </si>
  <si>
    <t>ゆで麵機</t>
    <rPh sb="2" eb="4">
      <t>メンキ</t>
    </rPh>
    <phoneticPr fontId="1"/>
  </si>
  <si>
    <t>食洗器</t>
    <rPh sb="0" eb="3">
      <t>ショクセンキ</t>
    </rPh>
    <phoneticPr fontId="1"/>
  </si>
  <si>
    <t>スチコン</t>
    <phoneticPr fontId="1"/>
  </si>
  <si>
    <t>温水器</t>
    <rPh sb="0" eb="3">
      <t>オンスイキ</t>
    </rPh>
    <phoneticPr fontId="1"/>
  </si>
  <si>
    <t>ﾄﾞｩｰｺﾝ</t>
    <phoneticPr fontId="1"/>
  </si>
  <si>
    <t>排気ﾌｧﾝ</t>
    <rPh sb="0" eb="2">
      <t>ハイキ</t>
    </rPh>
    <phoneticPr fontId="1"/>
  </si>
  <si>
    <t>厨房改装</t>
    <rPh sb="0" eb="2">
      <t>チュウボウ</t>
    </rPh>
    <rPh sb="2" eb="4">
      <t>カイソウ</t>
    </rPh>
    <phoneticPr fontId="1"/>
  </si>
  <si>
    <t>IH</t>
    <phoneticPr fontId="1"/>
  </si>
  <si>
    <t>ライフ</t>
  </si>
  <si>
    <t>ライフ</t>
    <phoneticPr fontId="1"/>
  </si>
  <si>
    <t>空調入替</t>
    <rPh sb="0" eb="4">
      <t>クウチョウイレカエ</t>
    </rPh>
    <phoneticPr fontId="1"/>
  </si>
  <si>
    <t>フライヤー</t>
    <phoneticPr fontId="1"/>
  </si>
  <si>
    <t>ブラス</t>
  </si>
  <si>
    <t>JR</t>
  </si>
  <si>
    <t>JR</t>
    <phoneticPr fontId="1"/>
  </si>
  <si>
    <t>木曽路</t>
    <rPh sb="0" eb="3">
      <t>キソジ</t>
    </rPh>
    <phoneticPr fontId="1"/>
  </si>
  <si>
    <t>ｽﾄｯｶｰ</t>
    <phoneticPr fontId="1"/>
  </si>
  <si>
    <t>ﾋｰﾄﾗﾝﾌﾟ</t>
    <phoneticPr fontId="1"/>
  </si>
  <si>
    <t>冷蔵ｼｮｰｹｰｽ</t>
    <rPh sb="0" eb="2">
      <t>レイゾウ</t>
    </rPh>
    <phoneticPr fontId="1"/>
  </si>
  <si>
    <t>餃子ｸﾞﾘﾗｰ</t>
    <rPh sb="0" eb="2">
      <t>ギョウザ</t>
    </rPh>
    <phoneticPr fontId="1"/>
  </si>
  <si>
    <t>ｽﾁｺﾝ</t>
    <phoneticPr fontId="1"/>
  </si>
  <si>
    <t>ﾁｯﾌﾟｱｲｽ</t>
    <phoneticPr fontId="1"/>
  </si>
  <si>
    <t>ﾃｨｰｻｰﾊﾞｰ</t>
    <phoneticPr fontId="1"/>
  </si>
  <si>
    <t>空調</t>
    <rPh sb="0" eb="2">
      <t>クウチョウ</t>
    </rPh>
    <phoneticPr fontId="1"/>
  </si>
  <si>
    <t>ﾛｰﾚﾝｼﾞ</t>
    <phoneticPr fontId="1"/>
  </si>
  <si>
    <t>冷蔵ﾘｰﾁｲﾝ</t>
    <rPh sb="0" eb="2">
      <t>レイゾウ</t>
    </rPh>
    <phoneticPr fontId="1"/>
  </si>
  <si>
    <t>ﾌﾟﾚﾊﾌﾞ</t>
    <phoneticPr fontId="1"/>
  </si>
  <si>
    <t>ｳｫｼｭﾚｯﾄ</t>
    <phoneticPr fontId="1"/>
  </si>
  <si>
    <t>IH調理器</t>
    <rPh sb="2" eb="5">
      <t>チョウリキ</t>
    </rPh>
    <phoneticPr fontId="1"/>
  </si>
  <si>
    <t>床暖房</t>
    <rPh sb="0" eb="3">
      <t>ユカダンボウ</t>
    </rPh>
    <phoneticPr fontId="1"/>
  </si>
  <si>
    <t>圧送ﾎﾟﾝﾌﾟ</t>
    <rPh sb="0" eb="2">
      <t>アッソウ</t>
    </rPh>
    <phoneticPr fontId="1"/>
  </si>
  <si>
    <t>冷凍ｽﾄｯｶｰ</t>
    <rPh sb="0" eb="2">
      <t>レイトウ</t>
    </rPh>
    <phoneticPr fontId="1"/>
  </si>
  <si>
    <t>ｶﾞｽｺﾝﾛ</t>
    <phoneticPr fontId="1"/>
  </si>
  <si>
    <t>ゆで麺機</t>
    <rPh sb="2" eb="4">
      <t>メンキ</t>
    </rPh>
    <phoneticPr fontId="1"/>
  </si>
  <si>
    <t>縦型冷凍</t>
    <rPh sb="0" eb="4">
      <t>タテガタレイトウ</t>
    </rPh>
    <phoneticPr fontId="1"/>
  </si>
  <si>
    <t>ルーム</t>
    <phoneticPr fontId="1"/>
  </si>
  <si>
    <t>台下</t>
    <rPh sb="0" eb="2">
      <t>ダイシタ</t>
    </rPh>
    <phoneticPr fontId="1"/>
  </si>
  <si>
    <t>IHコンロ</t>
    <phoneticPr fontId="1"/>
  </si>
  <si>
    <t>食洗</t>
    <rPh sb="0" eb="2">
      <t>ショクセン</t>
    </rPh>
    <phoneticPr fontId="1"/>
  </si>
  <si>
    <t>縦型冷蔵</t>
    <rPh sb="0" eb="2">
      <t>タテガタ</t>
    </rPh>
    <rPh sb="2" eb="4">
      <t>レイゾウ</t>
    </rPh>
    <phoneticPr fontId="1"/>
  </si>
  <si>
    <t>電調</t>
    <rPh sb="0" eb="2">
      <t>デンチョウ</t>
    </rPh>
    <phoneticPr fontId="1"/>
  </si>
  <si>
    <t>真空包装機</t>
    <rPh sb="0" eb="2">
      <t>シンクウ</t>
    </rPh>
    <rPh sb="2" eb="5">
      <t>ホウソウキ</t>
    </rPh>
    <phoneticPr fontId="1"/>
  </si>
  <si>
    <t>ｴｺｷｭｰﾄ</t>
    <phoneticPr fontId="1"/>
  </si>
  <si>
    <t>トイレ</t>
    <phoneticPr fontId="1"/>
  </si>
  <si>
    <t>冷凍庫</t>
    <rPh sb="0" eb="3">
      <t>レイトウコ</t>
    </rPh>
    <phoneticPr fontId="1"/>
  </si>
  <si>
    <t>排気ﾌｧﾝ入替</t>
    <rPh sb="0" eb="2">
      <t>ハイキ</t>
    </rPh>
    <rPh sb="5" eb="7">
      <t>イレカエ</t>
    </rPh>
    <phoneticPr fontId="1"/>
  </si>
  <si>
    <t>空調増設</t>
    <rPh sb="0" eb="2">
      <t>クウチョウ</t>
    </rPh>
    <rPh sb="2" eb="4">
      <t>ゾウセツ</t>
    </rPh>
    <phoneticPr fontId="1"/>
  </si>
  <si>
    <t>ﾌﾗｲﾔｰ</t>
  </si>
  <si>
    <t>ﾘｰﾁｲﾝ</t>
    <phoneticPr fontId="1"/>
  </si>
  <si>
    <t>ｶﾞｽﾃｰﾌﾞﾙ</t>
    <phoneticPr fontId="1"/>
  </si>
  <si>
    <t>真空包装</t>
    <rPh sb="0" eb="4">
      <t>シンクウホウソウ</t>
    </rPh>
    <phoneticPr fontId="1"/>
  </si>
  <si>
    <t>ｶﾞｽｺﾝﾛ</t>
  </si>
  <si>
    <t>台下冷蔵</t>
    <rPh sb="0" eb="2">
      <t>ダイシタ</t>
    </rPh>
    <rPh sb="2" eb="4">
      <t>レイゾウ</t>
    </rPh>
    <phoneticPr fontId="1"/>
  </si>
  <si>
    <t>ｽﾄｯｶｰ</t>
  </si>
  <si>
    <t>ｼｮｰｹｰｽ</t>
    <phoneticPr fontId="1"/>
  </si>
  <si>
    <t>餃子焼き器</t>
    <rPh sb="0" eb="2">
      <t>ギョウザ</t>
    </rPh>
    <rPh sb="2" eb="3">
      <t>ヤ</t>
    </rPh>
    <rPh sb="4" eb="5">
      <t>キ</t>
    </rPh>
    <phoneticPr fontId="1"/>
  </si>
  <si>
    <t>ﾏﾙﾁﾎﾞｲﾙ</t>
    <phoneticPr fontId="1"/>
  </si>
  <si>
    <t>RM厨房工事</t>
    <rPh sb="2" eb="4">
      <t>チュウボウ</t>
    </rPh>
    <rPh sb="4" eb="6">
      <t>コウジ</t>
    </rPh>
    <phoneticPr fontId="1"/>
  </si>
  <si>
    <t>縦型</t>
    <rPh sb="0" eb="2">
      <t>タテガタ</t>
    </rPh>
    <phoneticPr fontId="1"/>
  </si>
  <si>
    <t>冷凍機</t>
    <rPh sb="0" eb="3">
      <t>レイトウキ</t>
    </rPh>
    <phoneticPr fontId="1"/>
  </si>
  <si>
    <t>ケトル</t>
  </si>
  <si>
    <t>ケトル</t>
    <phoneticPr fontId="1"/>
  </si>
  <si>
    <t>移転工事</t>
    <rPh sb="0" eb="2">
      <t>イテン</t>
    </rPh>
    <rPh sb="2" eb="4">
      <t>コウジ</t>
    </rPh>
    <phoneticPr fontId="1"/>
  </si>
  <si>
    <t>ﾌﾟﾚﾊﾌﾞﾕﾆｯﾄ</t>
  </si>
  <si>
    <t>給茶機</t>
    <rPh sb="0" eb="3">
      <t>キュウチャキ</t>
    </rPh>
    <phoneticPr fontId="1"/>
  </si>
  <si>
    <t>ﾌﾞｰｽﾀｰ</t>
    <phoneticPr fontId="1"/>
  </si>
  <si>
    <t>遮断弁</t>
    <rPh sb="0" eb="3">
      <t>シャダンベン</t>
    </rPh>
    <phoneticPr fontId="1"/>
  </si>
  <si>
    <t>厨房工事</t>
    <rPh sb="0" eb="2">
      <t>チュウボウ</t>
    </rPh>
    <rPh sb="2" eb="4">
      <t>コウジ</t>
    </rPh>
    <phoneticPr fontId="1"/>
  </si>
  <si>
    <t>冷蔵庫</t>
    <rPh sb="0" eb="2">
      <t>レイゾウ</t>
    </rPh>
    <rPh sb="2" eb="3">
      <t>コ</t>
    </rPh>
    <phoneticPr fontId="1"/>
  </si>
  <si>
    <t>電子ｼﾞｬｰ</t>
    <rPh sb="0" eb="2">
      <t>デンシ</t>
    </rPh>
    <phoneticPr fontId="1"/>
  </si>
  <si>
    <t>ﾗｰﾒﾝ釜</t>
    <rPh sb="4" eb="5">
      <t>カマ</t>
    </rPh>
    <phoneticPr fontId="1"/>
  </si>
  <si>
    <t>ｶﾞｽﾚﾝｼﾞ</t>
    <phoneticPr fontId="1"/>
  </si>
  <si>
    <t>冷凍</t>
    <rPh sb="0" eb="2">
      <t>レイトウ</t>
    </rPh>
    <phoneticPr fontId="1"/>
  </si>
  <si>
    <t>ﾊﾟｽﾀﾎﾞｲﾗｰ</t>
    <phoneticPr fontId="1"/>
  </si>
  <si>
    <t>冷蔵</t>
    <rPh sb="0" eb="2">
      <t>レイゾウ</t>
    </rPh>
    <phoneticPr fontId="1"/>
  </si>
  <si>
    <t>カート</t>
    <phoneticPr fontId="1"/>
  </si>
  <si>
    <t>冷水器</t>
    <rPh sb="0" eb="3">
      <t>レイスイキ</t>
    </rPh>
    <phoneticPr fontId="1"/>
  </si>
  <si>
    <t>ドゥコン</t>
    <phoneticPr fontId="1"/>
  </si>
  <si>
    <t>厨房改装</t>
    <rPh sb="0" eb="4">
      <t>チュウボウカイソウ</t>
    </rPh>
    <phoneticPr fontId="1"/>
  </si>
  <si>
    <t>53期</t>
    <rPh sb="2" eb="3">
      <t>キ</t>
    </rPh>
    <phoneticPr fontId="1"/>
  </si>
  <si>
    <t>54期</t>
    <rPh sb="2" eb="3">
      <t>キ</t>
    </rPh>
    <phoneticPr fontId="1"/>
  </si>
  <si>
    <t>55期</t>
    <rPh sb="2" eb="3">
      <t>キ</t>
    </rPh>
    <phoneticPr fontId="1"/>
  </si>
  <si>
    <t>56期</t>
    <rPh sb="2" eb="3">
      <t>キ</t>
    </rPh>
    <phoneticPr fontId="1"/>
  </si>
  <si>
    <t>冷蔵機器</t>
    <rPh sb="0" eb="4">
      <t>レイゾウキキ</t>
    </rPh>
    <phoneticPr fontId="1"/>
  </si>
  <si>
    <t>熱機器</t>
    <rPh sb="0" eb="3">
      <t>ネツキキ</t>
    </rPh>
    <phoneticPr fontId="1"/>
  </si>
  <si>
    <t>6件　687</t>
    <rPh sb="1" eb="2">
      <t>ケン</t>
    </rPh>
    <phoneticPr fontId="1"/>
  </si>
  <si>
    <t>1件　24</t>
    <rPh sb="1" eb="2">
      <t>ケン</t>
    </rPh>
    <phoneticPr fontId="1"/>
  </si>
  <si>
    <t>5件　121</t>
    <rPh sb="1" eb="2">
      <t>ケン</t>
    </rPh>
    <phoneticPr fontId="1"/>
  </si>
  <si>
    <t>2件　32</t>
    <rPh sb="1" eb="2">
      <t>ケン</t>
    </rPh>
    <phoneticPr fontId="1"/>
  </si>
  <si>
    <t>0件</t>
    <rPh sb="1" eb="2">
      <t>ケン</t>
    </rPh>
    <phoneticPr fontId="1"/>
  </si>
  <si>
    <t>3件　148</t>
    <rPh sb="1" eb="2">
      <t>ケン</t>
    </rPh>
    <phoneticPr fontId="1"/>
  </si>
  <si>
    <t>1件　13</t>
    <rPh sb="1" eb="2">
      <t>ケン</t>
    </rPh>
    <phoneticPr fontId="1"/>
  </si>
  <si>
    <t>1件　25</t>
    <rPh sb="1" eb="2">
      <t>ケン</t>
    </rPh>
    <phoneticPr fontId="1"/>
  </si>
  <si>
    <t>1件　28</t>
    <rPh sb="1" eb="2">
      <t>ケン</t>
    </rPh>
    <phoneticPr fontId="1"/>
  </si>
  <si>
    <t>3件　83</t>
    <rPh sb="1" eb="2">
      <t>ケン</t>
    </rPh>
    <phoneticPr fontId="1"/>
  </si>
  <si>
    <t>9件　133</t>
    <rPh sb="1" eb="2">
      <t>ケン</t>
    </rPh>
    <phoneticPr fontId="1"/>
  </si>
  <si>
    <t>3件　111</t>
    <rPh sb="1" eb="2">
      <t>ケン</t>
    </rPh>
    <phoneticPr fontId="1"/>
  </si>
  <si>
    <t>2件　58</t>
    <rPh sb="1" eb="2">
      <t>ケン</t>
    </rPh>
    <phoneticPr fontId="1"/>
  </si>
  <si>
    <t>4件　186</t>
    <rPh sb="1" eb="2">
      <t>ケン</t>
    </rPh>
    <phoneticPr fontId="1"/>
  </si>
  <si>
    <t>物販　件数/金額（万）</t>
    <rPh sb="0" eb="2">
      <t>ブッパン</t>
    </rPh>
    <rPh sb="3" eb="5">
      <t>ケンスウ</t>
    </rPh>
    <rPh sb="6" eb="8">
      <t>キンガク</t>
    </rPh>
    <rPh sb="9" eb="10">
      <t>マン</t>
    </rPh>
    <phoneticPr fontId="1"/>
  </si>
  <si>
    <t>15件　471</t>
    <rPh sb="2" eb="3">
      <t>ケン</t>
    </rPh>
    <phoneticPr fontId="1"/>
  </si>
  <si>
    <t>8件　191</t>
    <rPh sb="1" eb="2">
      <t>ケン</t>
    </rPh>
    <phoneticPr fontId="1"/>
  </si>
  <si>
    <t>6件　138</t>
    <rPh sb="1" eb="2">
      <t>ケン</t>
    </rPh>
    <phoneticPr fontId="1"/>
  </si>
  <si>
    <t>3件　248</t>
    <rPh sb="1" eb="2">
      <t>ケン</t>
    </rPh>
    <phoneticPr fontId="1"/>
  </si>
  <si>
    <t>1件　65</t>
    <rPh sb="1" eb="2">
      <t>ケン</t>
    </rPh>
    <phoneticPr fontId="1"/>
  </si>
  <si>
    <t>4件　269</t>
    <rPh sb="1" eb="2">
      <t>ケン</t>
    </rPh>
    <phoneticPr fontId="1"/>
  </si>
  <si>
    <t>18件　630</t>
    <rPh sb="2" eb="3">
      <t>ケン</t>
    </rPh>
    <phoneticPr fontId="1"/>
  </si>
  <si>
    <t>7件　141</t>
    <rPh sb="1" eb="2">
      <t>ケン</t>
    </rPh>
    <phoneticPr fontId="1"/>
  </si>
  <si>
    <t>4件　98</t>
    <rPh sb="1" eb="2">
      <t>ケン</t>
    </rPh>
    <phoneticPr fontId="1"/>
  </si>
  <si>
    <t>9件　227</t>
    <rPh sb="1" eb="2">
      <t>ケン</t>
    </rPh>
    <phoneticPr fontId="1"/>
  </si>
  <si>
    <t>7件　173</t>
    <rPh sb="1" eb="2">
      <t>ケン</t>
    </rPh>
    <phoneticPr fontId="1"/>
  </si>
  <si>
    <t>3件　255</t>
    <rPh sb="1" eb="2">
      <t>ケン</t>
    </rPh>
    <phoneticPr fontId="1"/>
  </si>
  <si>
    <t>2件　56</t>
    <rPh sb="1" eb="2">
      <t>ケン</t>
    </rPh>
    <phoneticPr fontId="1"/>
  </si>
  <si>
    <t>4件　83</t>
    <rPh sb="1" eb="2">
      <t>ケン</t>
    </rPh>
    <phoneticPr fontId="1"/>
  </si>
  <si>
    <t>5件　129</t>
    <rPh sb="1" eb="2">
      <t>ケン</t>
    </rPh>
    <phoneticPr fontId="1"/>
  </si>
  <si>
    <t>1件　75</t>
    <rPh sb="1" eb="2">
      <t>ケン</t>
    </rPh>
    <phoneticPr fontId="1"/>
  </si>
  <si>
    <t>4件　421</t>
    <rPh sb="1" eb="2">
      <t>ケン</t>
    </rPh>
    <phoneticPr fontId="1"/>
  </si>
  <si>
    <t>3件　107</t>
    <rPh sb="1" eb="2">
      <t>ケン</t>
    </rPh>
    <phoneticPr fontId="1"/>
  </si>
  <si>
    <t>4件　337</t>
    <rPh sb="1" eb="2">
      <t>ケン</t>
    </rPh>
    <phoneticPr fontId="1"/>
  </si>
  <si>
    <t>2件　201</t>
    <rPh sb="1" eb="2">
      <t>ケン</t>
    </rPh>
    <phoneticPr fontId="1"/>
  </si>
  <si>
    <t>9件　895</t>
    <rPh sb="1" eb="2">
      <t>ケン</t>
    </rPh>
    <phoneticPr fontId="1"/>
  </si>
  <si>
    <t>2件　108</t>
    <rPh sb="1" eb="2">
      <t>ケン</t>
    </rPh>
    <phoneticPr fontId="1"/>
  </si>
  <si>
    <t>2件　67</t>
    <rPh sb="1" eb="2">
      <t>ケン</t>
    </rPh>
    <phoneticPr fontId="1"/>
  </si>
  <si>
    <t>4件　1427</t>
    <rPh sb="1" eb="2">
      <t>ケン</t>
    </rPh>
    <phoneticPr fontId="1"/>
  </si>
  <si>
    <t>9件　653</t>
    <rPh sb="1" eb="2">
      <t>ケン</t>
    </rPh>
    <phoneticPr fontId="1"/>
  </si>
  <si>
    <t>6件　254</t>
    <rPh sb="1" eb="2">
      <t>ケン</t>
    </rPh>
    <phoneticPr fontId="1"/>
  </si>
  <si>
    <t>1件　18</t>
    <rPh sb="1" eb="2">
      <t>ケン</t>
    </rPh>
    <phoneticPr fontId="1"/>
  </si>
  <si>
    <t>3件　367</t>
    <rPh sb="1" eb="2">
      <t>ケン</t>
    </rPh>
    <phoneticPr fontId="1"/>
  </si>
  <si>
    <t>4件　130</t>
    <rPh sb="1" eb="2">
      <t>ケン</t>
    </rPh>
    <phoneticPr fontId="1"/>
  </si>
  <si>
    <t>3件　105</t>
    <rPh sb="1" eb="2">
      <t>ケン</t>
    </rPh>
    <phoneticPr fontId="1"/>
  </si>
  <si>
    <t>1件　16</t>
    <rPh sb="1" eb="2">
      <t>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</si>
</sst>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_);[Red]\(#,##0\)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3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3" xfId="0" applyNumberFormat="1" applyBorder="1">
      <alignment vertical="center"/>
    </xf>
    <xf numFmtId="176" fontId="0" fillId="0" borderId="4" xfId="0" applyNumberFormat="1" applyBorder="1">
      <alignment vertical="center"/>
    </xf>
    <xf numFmtId="177" fontId="4" fillId="0" borderId="2" xfId="0" applyNumberFormat="1" applyFont="1" applyBorder="1">
      <alignment vertical="center"/>
    </xf>
    <xf numFmtId="177" fontId="4" fillId="0" borderId="3" xfId="0" applyNumberFormat="1" applyFon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7" fontId="4" fillId="0" borderId="1" xfId="0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177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3" fontId="0" fillId="0" borderId="16" xfId="0" applyNumberFormat="1" applyBorder="1">
      <alignment vertical="center"/>
    </xf>
    <xf numFmtId="3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0" fontId="7" fillId="0" borderId="0" xfId="0" applyFont="1">
      <alignment vertical="center"/>
    </xf>
    <xf numFmtId="3" fontId="0" fillId="0" borderId="5" xfId="0" applyNumberFormat="1" applyBorder="1">
      <alignment vertical="center"/>
    </xf>
    <xf numFmtId="176" fontId="0" fillId="0" borderId="5" xfId="0" applyNumberFormat="1" applyBorder="1">
      <alignment vertical="center"/>
    </xf>
    <xf numFmtId="38" fontId="0" fillId="0" borderId="1" xfId="1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3" fontId="0" fillId="0" borderId="13" xfId="0" applyNumberFormat="1" applyBorder="1">
      <alignment vertical="center"/>
    </xf>
    <xf numFmtId="3" fontId="0" fillId="0" borderId="14" xfId="0" applyNumberFormat="1" applyBorder="1">
      <alignment vertical="center"/>
    </xf>
    <xf numFmtId="176" fontId="0" fillId="0" borderId="15" xfId="0" applyNumberFormat="1" applyBorder="1">
      <alignment vertical="center"/>
    </xf>
    <xf numFmtId="38" fontId="0" fillId="0" borderId="0" xfId="0" applyNumberForma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3" fontId="10" fillId="0" borderId="0" xfId="0" applyNumberFormat="1" applyFon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177" fontId="4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7" fontId="4" fillId="0" borderId="0" xfId="0" applyNumberFormat="1" applyFont="1" applyAlignment="1">
      <alignment horizontal="right" vertical="center"/>
    </xf>
    <xf numFmtId="176" fontId="4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2" fontId="0" fillId="0" borderId="0" xfId="0" applyNumberFormat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3" fillId="0" borderId="0" xfId="0" applyFont="1">
      <alignment vertical="center"/>
    </xf>
    <xf numFmtId="0" fontId="0" fillId="0" borderId="25" xfId="0" applyBorder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ライフフーズ　売上表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Sheet1!$E$2:$E$3</c:f>
              <c:strCache>
                <c:ptCount val="2"/>
                <c:pt idx="0">
                  <c:v>ライフフーズ</c:v>
                </c:pt>
                <c:pt idx="1">
                  <c:v>純売上額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Sheet1!$A$4:$B$15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Sheet1!$E$4:$E$15</c:f>
              <c:numCache>
                <c:formatCode>#,##0</c:formatCode>
                <c:ptCount val="12"/>
                <c:pt idx="1">
                  <c:v>16926280</c:v>
                </c:pt>
                <c:pt idx="4">
                  <c:v>16685030</c:v>
                </c:pt>
                <c:pt idx="7">
                  <c:v>13276940</c:v>
                </c:pt>
                <c:pt idx="10">
                  <c:v>7475080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7-448B-ACE4-6F917E8F9EA3}"/>
            </c:ext>
          </c:extLst>
        </c:ser>
        <c:ser>
          <c:idx val="3"/>
          <c:order val="3"/>
          <c:tx>
            <c:strRef>
              <c:f>Sheet1!$F$2:$F$3</c:f>
              <c:strCache>
                <c:ptCount val="2"/>
                <c:pt idx="0">
                  <c:v>ライフフーズ</c:v>
                </c:pt>
                <c:pt idx="1">
                  <c:v>粗利額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F7-448B-ACE4-6F917E8F9E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Sheet1!$A$4:$B$15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Sheet1!$F$4:$F$15</c:f>
              <c:numCache>
                <c:formatCode>#,##0</c:formatCode>
                <c:ptCount val="12"/>
                <c:pt idx="1">
                  <c:v>4758184</c:v>
                </c:pt>
                <c:pt idx="4">
                  <c:v>4568876</c:v>
                </c:pt>
                <c:pt idx="7">
                  <c:v>4213418</c:v>
                </c:pt>
                <c:pt idx="10">
                  <c:v>2508148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F7-448B-ACE4-6F917E8F9EA3}"/>
            </c:ext>
          </c:extLst>
        </c:ser>
        <c:ser>
          <c:idx val="4"/>
          <c:order val="4"/>
          <c:tx>
            <c:strRef>
              <c:f>Sheet1!$G$2:$G$3</c:f>
              <c:strCache>
                <c:ptCount val="2"/>
                <c:pt idx="0">
                  <c:v>ライフフーズ</c:v>
                </c:pt>
                <c:pt idx="1">
                  <c:v>粗利率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0"/>
              <c:layout>
                <c:manualLayout>
                  <c:x val="7.3034572093605019E-2"/>
                  <c:y val="-2.90918670192432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F7-448B-ACE4-6F917E8F9EA3}"/>
                </c:ext>
              </c:extLst>
            </c:dLbl>
            <c:dLbl>
              <c:idx val="11"/>
              <c:layout>
                <c:manualLayout>
                  <c:x val="-2.2767490676533298E-3"/>
                  <c:y val="9.5674584089052175E-2"/>
                </c:manualLayout>
              </c:layout>
              <c:tx>
                <c:rich>
                  <a:bodyPr/>
                  <a:lstStyle/>
                  <a:p>
                    <a:fld id="{60FC6E76-EA02-4F4C-87D3-E60E1956753A}" type="VALUE">
                      <a:rPr lang="en-US" altLang="ja-JP"/>
                      <a:pPr/>
                      <a:t>[値]</a:t>
                    </a:fld>
                    <a:r>
                      <a:rPr lang="ja-JP" altLang="en-US"/>
                      <a:t>件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AF7-448B-ACE4-6F917E8F9E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Sheet1!$A$4:$B$15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Sheet1!$G$4:$G$15</c:f>
              <c:numCache>
                <c:formatCode>0.0%</c:formatCode>
                <c:ptCount val="12"/>
                <c:pt idx="1">
                  <c:v>0.28111221130691444</c:v>
                </c:pt>
                <c:pt idx="4">
                  <c:v>0.27400000000000002</c:v>
                </c:pt>
                <c:pt idx="7">
                  <c:v>0.317</c:v>
                </c:pt>
                <c:pt idx="10">
                  <c:v>0.33553460297414878</c:v>
                </c:pt>
                <c:pt idx="11" formatCode="General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F7-448B-ACE4-6F917E8F9E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23697391"/>
        <c:axId val="6236993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Sheet1!$C$2:$C$3</c15:sqref>
                        </c15:formulaRef>
                      </c:ext>
                    </c:extLst>
                    <c:strCache>
                      <c:ptCount val="2"/>
                      <c:pt idx="0">
                        <c:v>ライフフーズ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Sheet1!$A$4:$B$15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Sheet1!$C$4:$C$15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AF7-448B-ACE4-6F917E8F9EA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Sheet1!$D$2:$D$3</c15:sqref>
                        </c15:formulaRef>
                      </c:ext>
                    </c:extLst>
                    <c:strCache>
                      <c:ptCount val="2"/>
                      <c:pt idx="0">
                        <c:v>ライフフーズ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Sheet1!$A$4:$B$15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Sheet1!$D$4:$D$15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AF7-448B-ACE4-6F917E8F9EA3}"/>
                  </c:ext>
                </c:extLst>
              </c15:ser>
            </c15:filteredBarSeries>
          </c:ext>
        </c:extLst>
      </c:barChart>
      <c:catAx>
        <c:axId val="62369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3699311"/>
        <c:crosses val="autoZero"/>
        <c:auto val="1"/>
        <c:lblAlgn val="ctr"/>
        <c:lblOffset val="100"/>
        <c:noMultiLvlLbl val="0"/>
      </c:catAx>
      <c:valAx>
        <c:axId val="6236993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236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嘉文　売上表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Sheet1!$E$18:$E$19</c:f>
              <c:strCache>
                <c:ptCount val="2"/>
                <c:pt idx="0">
                  <c:v>嘉文</c:v>
                </c:pt>
                <c:pt idx="1">
                  <c:v>純売上額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Sheet1!$A$20:$B$31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Sheet1!$E$20:$E$31</c:f>
              <c:numCache>
                <c:formatCode>#,##0</c:formatCode>
                <c:ptCount val="12"/>
                <c:pt idx="1">
                  <c:v>6239510</c:v>
                </c:pt>
                <c:pt idx="4">
                  <c:v>5684830</c:v>
                </c:pt>
                <c:pt idx="7">
                  <c:v>6815910</c:v>
                </c:pt>
                <c:pt idx="10">
                  <c:v>5105270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A5-47D6-8F7F-59C30507EA31}"/>
            </c:ext>
          </c:extLst>
        </c:ser>
        <c:ser>
          <c:idx val="3"/>
          <c:order val="3"/>
          <c:tx>
            <c:strRef>
              <c:f>Sheet1!$F$18:$F$19</c:f>
              <c:strCache>
                <c:ptCount val="2"/>
                <c:pt idx="0">
                  <c:v>嘉文</c:v>
                </c:pt>
                <c:pt idx="1">
                  <c:v>粗利額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A5-47D6-8F7F-59C30507E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Sheet1!$A$20:$B$31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Sheet1!$F$20:$F$31</c:f>
              <c:numCache>
                <c:formatCode>#,##0</c:formatCode>
                <c:ptCount val="12"/>
                <c:pt idx="1">
                  <c:v>1927717</c:v>
                </c:pt>
                <c:pt idx="4">
                  <c:v>2004062</c:v>
                </c:pt>
                <c:pt idx="7">
                  <c:v>2361261</c:v>
                </c:pt>
                <c:pt idx="10">
                  <c:v>2098938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A5-47D6-8F7F-59C30507EA31}"/>
            </c:ext>
          </c:extLst>
        </c:ser>
        <c:ser>
          <c:idx val="4"/>
          <c:order val="4"/>
          <c:tx>
            <c:strRef>
              <c:f>Sheet1!$G$18:$G$19</c:f>
              <c:strCache>
                <c:ptCount val="2"/>
                <c:pt idx="0">
                  <c:v>嘉文</c:v>
                </c:pt>
                <c:pt idx="1">
                  <c:v>粗利率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layout>
                <c:manualLayout>
                  <c:x val="0"/>
                  <c:y val="9.5872541570578604E-2"/>
                </c:manualLayout>
              </c:layout>
              <c:tx>
                <c:rich>
                  <a:bodyPr/>
                  <a:lstStyle/>
                  <a:p>
                    <a:fld id="{89EF9E80-266B-47CF-A953-00FE30CB826A}" type="VALUE">
                      <a:rPr lang="en-US" altLang="ja-JP"/>
                      <a:pPr/>
                      <a:t>[値]</a:t>
                    </a:fld>
                    <a:r>
                      <a:rPr lang="ja-JP" altLang="en-US"/>
                      <a:t>件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AA5-47D6-8F7F-59C30507E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Sheet1!$A$20:$B$31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Sheet1!$G$20:$G$31</c:f>
              <c:numCache>
                <c:formatCode>0.0%</c:formatCode>
                <c:ptCount val="12"/>
                <c:pt idx="1">
                  <c:v>0.30895326716360738</c:v>
                </c:pt>
                <c:pt idx="4">
                  <c:v>0.35299999999999998</c:v>
                </c:pt>
                <c:pt idx="7">
                  <c:v>0.34599999999999997</c:v>
                </c:pt>
                <c:pt idx="10">
                  <c:v>0.41113163456585056</c:v>
                </c:pt>
                <c:pt idx="11" formatCode="General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A5-47D6-8F7F-59C30507EA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17905391"/>
        <c:axId val="12179111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Sheet1!$C$18:$C$19</c15:sqref>
                        </c15:formulaRef>
                      </c:ext>
                    </c:extLst>
                    <c:strCache>
                      <c:ptCount val="2"/>
                      <c:pt idx="0">
                        <c:v>嘉文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Sheet1!$A$20:$B$31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Sheet1!$C$20:$C$31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AA5-47D6-8F7F-59C30507EA3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Sheet1!$D$18:$D$19</c15:sqref>
                        </c15:formulaRef>
                      </c:ext>
                    </c:extLst>
                    <c:strCache>
                      <c:ptCount val="2"/>
                      <c:pt idx="0">
                        <c:v>嘉文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Sheet1!$A$20:$B$31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Sheet1!$D$20:$D$31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AA5-47D6-8F7F-59C30507EA31}"/>
                  </c:ext>
                </c:extLst>
              </c15:ser>
            </c15:filteredBarSeries>
          </c:ext>
        </c:extLst>
      </c:barChart>
      <c:catAx>
        <c:axId val="121790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7911151"/>
        <c:crosses val="autoZero"/>
        <c:auto val="1"/>
        <c:lblAlgn val="ctr"/>
        <c:lblOffset val="100"/>
        <c:noMultiLvlLbl val="0"/>
      </c:catAx>
      <c:valAx>
        <c:axId val="12179111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790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穂波　売上表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Sheet1!$E$34:$E$35</c:f>
              <c:strCache>
                <c:ptCount val="2"/>
                <c:pt idx="0">
                  <c:v>穂波</c:v>
                </c:pt>
                <c:pt idx="1">
                  <c:v>純売上額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Sheet1!$A$36:$B$47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Sheet1!$E$36:$E$47</c:f>
              <c:numCache>
                <c:formatCode>#,##0</c:formatCode>
                <c:ptCount val="12"/>
                <c:pt idx="1">
                  <c:v>10318770</c:v>
                </c:pt>
                <c:pt idx="4">
                  <c:v>12215560</c:v>
                </c:pt>
                <c:pt idx="7">
                  <c:v>9696210</c:v>
                </c:pt>
                <c:pt idx="10">
                  <c:v>8536470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79-41EB-BB6B-06027738B555}"/>
            </c:ext>
          </c:extLst>
        </c:ser>
        <c:ser>
          <c:idx val="3"/>
          <c:order val="3"/>
          <c:tx>
            <c:strRef>
              <c:f>Sheet1!$F$34:$F$35</c:f>
              <c:strCache>
                <c:ptCount val="2"/>
                <c:pt idx="0">
                  <c:v>穂波</c:v>
                </c:pt>
                <c:pt idx="1">
                  <c:v>粗利額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79-41EB-BB6B-06027738B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Sheet1!$A$36:$B$47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Sheet1!$F$36:$F$47</c:f>
              <c:numCache>
                <c:formatCode>#,##0</c:formatCode>
                <c:ptCount val="12"/>
                <c:pt idx="1">
                  <c:v>3931427</c:v>
                </c:pt>
                <c:pt idx="4">
                  <c:v>4541611</c:v>
                </c:pt>
                <c:pt idx="7">
                  <c:v>4075477</c:v>
                </c:pt>
                <c:pt idx="10">
                  <c:v>3717303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79-41EB-BB6B-06027738B555}"/>
            </c:ext>
          </c:extLst>
        </c:ser>
        <c:ser>
          <c:idx val="4"/>
          <c:order val="4"/>
          <c:tx>
            <c:strRef>
              <c:f>Sheet1!$G$34:$G$35</c:f>
              <c:strCache>
                <c:ptCount val="2"/>
                <c:pt idx="0">
                  <c:v>穂波</c:v>
                </c:pt>
                <c:pt idx="1">
                  <c:v>粗利率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layout>
                <c:manualLayout>
                  <c:x val="0"/>
                  <c:y val="0.10736213665019197"/>
                </c:manualLayout>
              </c:layout>
              <c:tx>
                <c:rich>
                  <a:bodyPr/>
                  <a:lstStyle/>
                  <a:p>
                    <a:fld id="{04D88910-0D04-4984-8EE5-2B3C578EC3C1}" type="VALUE">
                      <a:rPr lang="en-US" altLang="ja-JP"/>
                      <a:pPr/>
                      <a:t>[値]</a:t>
                    </a:fld>
                    <a:r>
                      <a:rPr lang="ja-JP" altLang="en-US"/>
                      <a:t>件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A79-41EB-BB6B-06027738B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Sheet1!$A$36:$B$47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Sheet1!$G$36:$G$47</c:f>
              <c:numCache>
                <c:formatCode>0.0%</c:formatCode>
                <c:ptCount val="12"/>
                <c:pt idx="1">
                  <c:v>0.38099763828440791</c:v>
                </c:pt>
                <c:pt idx="4">
                  <c:v>0.372</c:v>
                </c:pt>
                <c:pt idx="7">
                  <c:v>0.42</c:v>
                </c:pt>
                <c:pt idx="10">
                  <c:v>0.43546137923521083</c:v>
                </c:pt>
                <c:pt idx="11" formatCode="General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79-41EB-BB6B-06027738B5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12602639"/>
        <c:axId val="5126079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Sheet1!$C$34:$C$35</c15:sqref>
                        </c15:formulaRef>
                      </c:ext>
                    </c:extLst>
                    <c:strCache>
                      <c:ptCount val="2"/>
                      <c:pt idx="0">
                        <c:v>穂波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Sheet1!$A$36:$B$47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Sheet1!$C$36:$C$47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A79-41EB-BB6B-06027738B55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Sheet1!$D$34:$D$35</c15:sqref>
                        </c15:formulaRef>
                      </c:ext>
                    </c:extLst>
                    <c:strCache>
                      <c:ptCount val="2"/>
                      <c:pt idx="0">
                        <c:v>穂波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Sheet1!$A$36:$B$47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Sheet1!$D$36:$D$47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A79-41EB-BB6B-06027738B555}"/>
                  </c:ext>
                </c:extLst>
              </c15:ser>
            </c15:filteredBarSeries>
          </c:ext>
        </c:extLst>
      </c:barChart>
      <c:catAx>
        <c:axId val="51260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2607919"/>
        <c:crosses val="autoZero"/>
        <c:auto val="1"/>
        <c:lblAlgn val="ctr"/>
        <c:lblOffset val="100"/>
        <c:noMultiLvlLbl val="0"/>
      </c:catAx>
      <c:valAx>
        <c:axId val="5126079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260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ブラス　売上表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Sheet1!$E$50:$E$51</c:f>
              <c:strCache>
                <c:ptCount val="2"/>
                <c:pt idx="0">
                  <c:v>ブラス</c:v>
                </c:pt>
                <c:pt idx="1">
                  <c:v>純売上額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Sheet1!$A$52:$B$63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Sheet1!$E$52:$E$63</c:f>
              <c:numCache>
                <c:formatCode>#,##0</c:formatCode>
                <c:ptCount val="12"/>
                <c:pt idx="1">
                  <c:v>18641460</c:v>
                </c:pt>
                <c:pt idx="4">
                  <c:v>18091720</c:v>
                </c:pt>
                <c:pt idx="7">
                  <c:v>18503280</c:v>
                </c:pt>
                <c:pt idx="10">
                  <c:v>15117020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D1-4715-B5B9-A26C1F34C94F}"/>
            </c:ext>
          </c:extLst>
        </c:ser>
        <c:ser>
          <c:idx val="3"/>
          <c:order val="3"/>
          <c:tx>
            <c:strRef>
              <c:f>Sheet1!$F$50:$F$51</c:f>
              <c:strCache>
                <c:ptCount val="2"/>
                <c:pt idx="0">
                  <c:v>ブラス</c:v>
                </c:pt>
                <c:pt idx="1">
                  <c:v>粗利額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D1-4715-B5B9-A26C1F34C9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Sheet1!$A$52:$B$63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Sheet1!$F$52:$F$63</c:f>
              <c:numCache>
                <c:formatCode>#,##0</c:formatCode>
                <c:ptCount val="12"/>
                <c:pt idx="1">
                  <c:v>8166738</c:v>
                </c:pt>
                <c:pt idx="4">
                  <c:v>7406493</c:v>
                </c:pt>
                <c:pt idx="7">
                  <c:v>8929175</c:v>
                </c:pt>
                <c:pt idx="10">
                  <c:v>6983383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D1-4715-B5B9-A26C1F34C94F}"/>
            </c:ext>
          </c:extLst>
        </c:ser>
        <c:ser>
          <c:idx val="4"/>
          <c:order val="4"/>
          <c:tx>
            <c:strRef>
              <c:f>Sheet1!$G$50:$G$51</c:f>
              <c:strCache>
                <c:ptCount val="2"/>
                <c:pt idx="0">
                  <c:v>ブラス</c:v>
                </c:pt>
                <c:pt idx="1">
                  <c:v>粗利率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layout>
                <c:manualLayout>
                  <c:x val="2.2732890859390982E-3"/>
                  <c:y val="9.246411587754115E-2"/>
                </c:manualLayout>
              </c:layout>
              <c:tx>
                <c:rich>
                  <a:bodyPr/>
                  <a:lstStyle/>
                  <a:p>
                    <a:fld id="{BB76BAEE-DCE7-4870-A2D3-533F4352589A}" type="VALUE">
                      <a:rPr lang="en-US" altLang="ja-JP"/>
                      <a:pPr/>
                      <a:t>[値]</a:t>
                    </a:fld>
                    <a:r>
                      <a:rPr lang="ja-JP" altLang="en-US"/>
                      <a:t>件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0D1-4715-B5B9-A26C1F34C9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Sheet1!$A$52:$B$63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Sheet1!$G$52:$G$63</c:f>
              <c:numCache>
                <c:formatCode>0.0%</c:formatCode>
                <c:ptCount val="12"/>
                <c:pt idx="1">
                  <c:v>0.43809540669024849</c:v>
                </c:pt>
                <c:pt idx="4">
                  <c:v>0.40899999999999997</c:v>
                </c:pt>
                <c:pt idx="7">
                  <c:v>0.48299999999999998</c:v>
                </c:pt>
                <c:pt idx="10">
                  <c:v>0.46195500171330062</c:v>
                </c:pt>
                <c:pt idx="11" formatCode="General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D1-4715-B5B9-A26C1F34C9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5275295"/>
        <c:axId val="12352887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Sheet1!$C$50:$C$51</c15:sqref>
                        </c15:formulaRef>
                      </c:ext>
                    </c:extLst>
                    <c:strCache>
                      <c:ptCount val="2"/>
                      <c:pt idx="0">
                        <c:v>ブラス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Sheet1!$A$52:$B$63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Sheet1!$C$52:$C$63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0D1-4715-B5B9-A26C1F34C94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Sheet1!$D$50:$D$51</c15:sqref>
                        </c15:formulaRef>
                      </c:ext>
                    </c:extLst>
                    <c:strCache>
                      <c:ptCount val="2"/>
                      <c:pt idx="0">
                        <c:v>ブラス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Sheet1!$A$52:$B$63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Sheet1!$D$52:$D$63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D1-4715-B5B9-A26C1F34C94F}"/>
                  </c:ext>
                </c:extLst>
              </c15:ser>
            </c15:filteredBarSeries>
          </c:ext>
        </c:extLst>
      </c:barChart>
      <c:catAx>
        <c:axId val="123527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5288735"/>
        <c:crosses val="autoZero"/>
        <c:auto val="1"/>
        <c:lblAlgn val="ctr"/>
        <c:lblOffset val="100"/>
        <c:noMultiLvlLbl val="0"/>
      </c:catAx>
      <c:valAx>
        <c:axId val="12352887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3527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若鯱家　売上表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Sheet1!$E$66:$E$67</c:f>
              <c:strCache>
                <c:ptCount val="2"/>
                <c:pt idx="0">
                  <c:v>若鯱家</c:v>
                </c:pt>
                <c:pt idx="1">
                  <c:v>純売上額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Sheet1!$A$68:$B$79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Sheet1!$E$68:$E$79</c:f>
              <c:numCache>
                <c:formatCode>#,##0</c:formatCode>
                <c:ptCount val="12"/>
                <c:pt idx="1">
                  <c:v>8559530</c:v>
                </c:pt>
                <c:pt idx="4">
                  <c:v>6219460</c:v>
                </c:pt>
                <c:pt idx="7">
                  <c:v>5534280</c:v>
                </c:pt>
                <c:pt idx="10">
                  <c:v>3288880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8-4449-BAAA-C4A781F2989A}"/>
            </c:ext>
          </c:extLst>
        </c:ser>
        <c:ser>
          <c:idx val="3"/>
          <c:order val="3"/>
          <c:tx>
            <c:strRef>
              <c:f>Sheet1!$F$66:$F$67</c:f>
              <c:strCache>
                <c:ptCount val="2"/>
                <c:pt idx="0">
                  <c:v>若鯱家</c:v>
                </c:pt>
                <c:pt idx="1">
                  <c:v>粗利額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28-4449-BAAA-C4A781F298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Sheet1!$A$68:$B$79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Sheet1!$F$68:$F$79</c:f>
              <c:numCache>
                <c:formatCode>#,##0</c:formatCode>
                <c:ptCount val="12"/>
                <c:pt idx="1">
                  <c:v>4076783</c:v>
                </c:pt>
                <c:pt idx="4">
                  <c:v>2893630</c:v>
                </c:pt>
                <c:pt idx="7">
                  <c:v>2727769</c:v>
                </c:pt>
                <c:pt idx="10">
                  <c:v>1812565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28-4449-BAAA-C4A781F2989A}"/>
            </c:ext>
          </c:extLst>
        </c:ser>
        <c:ser>
          <c:idx val="4"/>
          <c:order val="4"/>
          <c:tx>
            <c:strRef>
              <c:f>Sheet1!$G$66:$G$67</c:f>
              <c:strCache>
                <c:ptCount val="2"/>
                <c:pt idx="0">
                  <c:v>若鯱家</c:v>
                </c:pt>
                <c:pt idx="1">
                  <c:v>粗利率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0"/>
              <c:layout>
                <c:manualLayout>
                  <c:x val="6.2115514205595287E-2"/>
                  <c:y val="-2.93742051111695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28-4449-BAAA-C4A781F2989A}"/>
                </c:ext>
              </c:extLst>
            </c:dLbl>
            <c:dLbl>
              <c:idx val="11"/>
              <c:layout>
                <c:manualLayout>
                  <c:x val="0"/>
                  <c:y val="0.10281521109674203"/>
                </c:manualLayout>
              </c:layout>
              <c:tx>
                <c:rich>
                  <a:bodyPr/>
                  <a:lstStyle/>
                  <a:p>
                    <a:fld id="{9CC7CE8F-9730-4798-B412-E0EC59434274}" type="VALUE">
                      <a:rPr lang="en-US" altLang="ja-JP"/>
                      <a:pPr/>
                      <a:t>[値]</a:t>
                    </a:fld>
                    <a:r>
                      <a:rPr lang="ja-JP" altLang="en-US"/>
                      <a:t>件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228-4449-BAAA-C4A781F298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Sheet1!$A$68:$B$79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Sheet1!$G$68:$G$79</c:f>
              <c:numCache>
                <c:formatCode>0.0%</c:formatCode>
                <c:ptCount val="12"/>
                <c:pt idx="1">
                  <c:v>0.4762858474705971</c:v>
                </c:pt>
                <c:pt idx="4">
                  <c:v>0.46525421821187046</c:v>
                </c:pt>
                <c:pt idx="7">
                  <c:v>0.49288597613420354</c:v>
                </c:pt>
                <c:pt idx="10">
                  <c:v>0.55111922599790808</c:v>
                </c:pt>
                <c:pt idx="11" formatCode="General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28-4449-BAAA-C4A781F298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45311631"/>
        <c:axId val="13453130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Sheet1!$C$66:$C$67</c15:sqref>
                        </c15:formulaRef>
                      </c:ext>
                    </c:extLst>
                    <c:strCache>
                      <c:ptCount val="2"/>
                      <c:pt idx="0">
                        <c:v>若鯱家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Sheet1!$A$68:$B$79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Sheet1!$C$68:$C$79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228-4449-BAAA-C4A781F2989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Sheet1!$D$66:$D$67</c15:sqref>
                        </c15:formulaRef>
                      </c:ext>
                    </c:extLst>
                    <c:strCache>
                      <c:ptCount val="2"/>
                      <c:pt idx="0">
                        <c:v>若鯱家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Sheet1!$A$68:$B$79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Sheet1!$D$68:$D$79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228-4449-BAAA-C4A781F2989A}"/>
                  </c:ext>
                </c:extLst>
              </c15:ser>
            </c15:filteredBarSeries>
          </c:ext>
        </c:extLst>
      </c:barChart>
      <c:catAx>
        <c:axId val="134531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5313071"/>
        <c:crosses val="autoZero"/>
        <c:auto val="1"/>
        <c:lblAlgn val="ctr"/>
        <c:lblOffset val="100"/>
        <c:noMultiLvlLbl val="0"/>
      </c:catAx>
      <c:valAx>
        <c:axId val="13453130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4531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JR</a:t>
            </a:r>
            <a:r>
              <a:rPr lang="ja-JP" altLang="en-US"/>
              <a:t>東海</a:t>
            </a:r>
            <a:r>
              <a:rPr lang="en-US" altLang="ja-JP"/>
              <a:t>FS</a:t>
            </a:r>
            <a:r>
              <a:rPr lang="ja-JP" altLang="en-US"/>
              <a:t>　売上表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Sheet1!$E$82:$E$83</c:f>
              <c:strCache>
                <c:ptCount val="2"/>
                <c:pt idx="0">
                  <c:v>JR東海FS</c:v>
                </c:pt>
                <c:pt idx="1">
                  <c:v>純売上額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Sheet1!$A$84:$B$95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Sheet1!$E$84:$E$95</c:f>
              <c:numCache>
                <c:formatCode>#,##0</c:formatCode>
                <c:ptCount val="12"/>
                <c:pt idx="1">
                  <c:v>3411515</c:v>
                </c:pt>
                <c:pt idx="4">
                  <c:v>3986894</c:v>
                </c:pt>
                <c:pt idx="7">
                  <c:v>1894880</c:v>
                </c:pt>
                <c:pt idx="10">
                  <c:v>2476430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21-4DF4-8594-264CBA5EF081}"/>
            </c:ext>
          </c:extLst>
        </c:ser>
        <c:ser>
          <c:idx val="3"/>
          <c:order val="3"/>
          <c:tx>
            <c:strRef>
              <c:f>Sheet1!$F$82:$F$83</c:f>
              <c:strCache>
                <c:ptCount val="2"/>
                <c:pt idx="0">
                  <c:v>JR東海FS</c:v>
                </c:pt>
                <c:pt idx="1">
                  <c:v>粗利額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21-4DF4-8594-264CBA5EF0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Sheet1!$A$84:$B$95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Sheet1!$F$84:$F$95</c:f>
              <c:numCache>
                <c:formatCode>#,##0</c:formatCode>
                <c:ptCount val="12"/>
                <c:pt idx="1">
                  <c:v>1225914</c:v>
                </c:pt>
                <c:pt idx="4">
                  <c:v>1448545</c:v>
                </c:pt>
                <c:pt idx="7">
                  <c:v>711780</c:v>
                </c:pt>
                <c:pt idx="10">
                  <c:v>889800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21-4DF4-8594-264CBA5EF081}"/>
            </c:ext>
          </c:extLst>
        </c:ser>
        <c:ser>
          <c:idx val="4"/>
          <c:order val="4"/>
          <c:tx>
            <c:strRef>
              <c:f>Sheet1!$G$82:$G$83</c:f>
              <c:strCache>
                <c:ptCount val="2"/>
                <c:pt idx="0">
                  <c:v>JR東海FS</c:v>
                </c:pt>
                <c:pt idx="1">
                  <c:v>粗利率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0"/>
              <c:layout>
                <c:manualLayout>
                  <c:x val="6.9120950233460085E-2"/>
                  <c:y val="-3.69834439390687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21-4DF4-8594-264CBA5EF081}"/>
                </c:ext>
              </c:extLst>
            </c:dLbl>
            <c:dLbl>
              <c:idx val="11"/>
              <c:layout>
                <c:manualLayout>
                  <c:x val="0"/>
                  <c:y val="9.616073994843867E-2"/>
                </c:manualLayout>
              </c:layout>
              <c:tx>
                <c:rich>
                  <a:bodyPr/>
                  <a:lstStyle/>
                  <a:p>
                    <a:fld id="{3F5641AB-9CDB-4521-AC35-6AC63DF60025}" type="VALUE">
                      <a:rPr lang="en-US" altLang="ja-JP"/>
                      <a:pPr/>
                      <a:t>[値]</a:t>
                    </a:fld>
                    <a:r>
                      <a:rPr lang="ja-JP" altLang="en-US"/>
                      <a:t>件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221-4DF4-8594-264CBA5EF0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Sheet1!$A$84:$B$95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Sheet1!$G$84:$G$95</c:f>
              <c:numCache>
                <c:formatCode>0.0%</c:formatCode>
                <c:ptCount val="12"/>
                <c:pt idx="1">
                  <c:v>0.35934592109370761</c:v>
                </c:pt>
                <c:pt idx="4">
                  <c:v>0.36332668989945555</c:v>
                </c:pt>
                <c:pt idx="7">
                  <c:v>0.37563328548509667</c:v>
                </c:pt>
                <c:pt idx="10">
                  <c:v>0.35930755159645134</c:v>
                </c:pt>
                <c:pt idx="11" formatCode="General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21-4DF4-8594-264CBA5EF0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0703279"/>
        <c:axId val="10307003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Sheet1!$C$82:$C$83</c15:sqref>
                        </c15:formulaRef>
                      </c:ext>
                    </c:extLst>
                    <c:strCache>
                      <c:ptCount val="2"/>
                      <c:pt idx="0">
                        <c:v>JR東海FS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Sheet1!$A$84:$B$95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Sheet1!$C$84:$C$95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221-4DF4-8594-264CBA5EF08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Sheet1!$D$82:$D$83</c15:sqref>
                        </c15:formulaRef>
                      </c:ext>
                    </c:extLst>
                    <c:strCache>
                      <c:ptCount val="2"/>
                      <c:pt idx="0">
                        <c:v>JR東海FS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Sheet1!$A$84:$B$95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Sheet1!$D$84:$D$95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21-4DF4-8594-264CBA5EF081}"/>
                  </c:ext>
                </c:extLst>
              </c15:ser>
            </c15:filteredBarSeries>
          </c:ext>
        </c:extLst>
      </c:barChart>
      <c:catAx>
        <c:axId val="103070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0700399"/>
        <c:crosses val="autoZero"/>
        <c:auto val="1"/>
        <c:lblAlgn val="ctr"/>
        <c:lblOffset val="100"/>
        <c:noMultiLvlLbl val="0"/>
      </c:catAx>
      <c:valAx>
        <c:axId val="10307003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3070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風来坊　売上表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Sheet1!$E$98:$E$99</c:f>
              <c:strCache>
                <c:ptCount val="2"/>
                <c:pt idx="0">
                  <c:v>風来坊</c:v>
                </c:pt>
                <c:pt idx="1">
                  <c:v>純売上額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Sheet1!$A$100:$B$111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Sheet1!$E$100:$E$111</c:f>
              <c:numCache>
                <c:formatCode>#,##0</c:formatCode>
                <c:ptCount val="12"/>
                <c:pt idx="1">
                  <c:v>2458700</c:v>
                </c:pt>
                <c:pt idx="4">
                  <c:v>4079460</c:v>
                </c:pt>
                <c:pt idx="7">
                  <c:v>3924810</c:v>
                </c:pt>
                <c:pt idx="10">
                  <c:v>4349540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28-438A-804F-80803EA9A822}"/>
            </c:ext>
          </c:extLst>
        </c:ser>
        <c:ser>
          <c:idx val="3"/>
          <c:order val="3"/>
          <c:tx>
            <c:strRef>
              <c:f>Sheet1!$F$98:$F$99</c:f>
              <c:strCache>
                <c:ptCount val="2"/>
                <c:pt idx="0">
                  <c:v>風来坊</c:v>
                </c:pt>
                <c:pt idx="1">
                  <c:v>粗利額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A28-438A-804F-80803EA9A8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Sheet1!$A$100:$B$111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Sheet1!$F$100:$F$111</c:f>
              <c:numCache>
                <c:formatCode>#,##0</c:formatCode>
                <c:ptCount val="12"/>
                <c:pt idx="1">
                  <c:v>835583</c:v>
                </c:pt>
                <c:pt idx="4">
                  <c:v>1388984</c:v>
                </c:pt>
                <c:pt idx="7">
                  <c:v>1726064</c:v>
                </c:pt>
                <c:pt idx="10">
                  <c:v>1717663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28-438A-804F-80803EA9A822}"/>
            </c:ext>
          </c:extLst>
        </c:ser>
        <c:ser>
          <c:idx val="4"/>
          <c:order val="4"/>
          <c:tx>
            <c:strRef>
              <c:f>Sheet1!$G$98:$G$99</c:f>
              <c:strCache>
                <c:ptCount val="2"/>
                <c:pt idx="0">
                  <c:v>風来坊</c:v>
                </c:pt>
                <c:pt idx="1">
                  <c:v>粗利率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layout>
                <c:manualLayout>
                  <c:x val="2.30403209244575E-3"/>
                  <c:y val="0.10361268139697195"/>
                </c:manualLayout>
              </c:layout>
              <c:tx>
                <c:rich>
                  <a:bodyPr/>
                  <a:lstStyle/>
                  <a:p>
                    <a:fld id="{505AB592-CDB9-4B59-ABAB-B168428FEE07}" type="VALUE">
                      <a:rPr lang="en-US" altLang="ja-JP"/>
                      <a:pPr/>
                      <a:t>[値]</a:t>
                    </a:fld>
                    <a:r>
                      <a:rPr lang="ja-JP" altLang="en-US"/>
                      <a:t>件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A28-438A-804F-80803EA9A8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Sheet1!$A$100:$B$111</c:f>
              <c:strCache>
                <c:ptCount val="11"/>
                <c:pt idx="1">
                  <c:v>53期（2022.9～2023.8）</c:v>
                </c:pt>
                <c:pt idx="4">
                  <c:v>54期（2023.9～2024.8）</c:v>
                </c:pt>
                <c:pt idx="7">
                  <c:v>55期（2024.9～2025.8）</c:v>
                </c:pt>
                <c:pt idx="10">
                  <c:v>56期（2025.9～2026.8）</c:v>
                </c:pt>
              </c:strCache>
            </c:strRef>
          </c:cat>
          <c:val>
            <c:numRef>
              <c:f>Sheet1!$G$100:$G$111</c:f>
              <c:numCache>
                <c:formatCode>0.0%</c:formatCode>
                <c:ptCount val="12"/>
                <c:pt idx="1">
                  <c:v>0.33984748037580836</c:v>
                </c:pt>
                <c:pt idx="4">
                  <c:v>0.3404823187382644</c:v>
                </c:pt>
                <c:pt idx="7">
                  <c:v>0.43978281751218529</c:v>
                </c:pt>
                <c:pt idx="10">
                  <c:v>0.39490681773244984</c:v>
                </c:pt>
                <c:pt idx="11" formatCode="General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28-438A-804F-80803EA9A8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5276255"/>
        <c:axId val="1235283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Sheet1!$C$98:$C$99</c15:sqref>
                        </c15:formulaRef>
                      </c:ext>
                    </c:extLst>
                    <c:strCache>
                      <c:ptCount val="2"/>
                      <c:pt idx="0">
                        <c:v>風来坊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Sheet1!$A$100:$B$111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Sheet1!$C$100:$C$111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A28-438A-804F-80803EA9A82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Sheet1!$D$98:$D$99</c15:sqref>
                        </c15:formulaRef>
                      </c:ext>
                    </c:extLst>
                    <c:strCache>
                      <c:ptCount val="2"/>
                      <c:pt idx="0">
                        <c:v>風来坊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Sheet1!$A$100:$B$111</c15:sqref>
                        </c15:formulaRef>
                      </c:ext>
                    </c:extLst>
                    <c:strCache>
                      <c:ptCount val="11"/>
                      <c:pt idx="1">
                        <c:v>53期（2022.9～2023.8）</c:v>
                      </c:pt>
                      <c:pt idx="4">
                        <c:v>54期（2023.9～2024.8）</c:v>
                      </c:pt>
                      <c:pt idx="7">
                        <c:v>55期（2024.9～2025.8）</c:v>
                      </c:pt>
                      <c:pt idx="10">
                        <c:v>56期（2025.9～2026.8）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Sheet1!$D$100:$D$111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A28-438A-804F-80803EA9A822}"/>
                  </c:ext>
                </c:extLst>
              </c15:ser>
            </c15:filteredBarSeries>
          </c:ext>
        </c:extLst>
      </c:barChart>
      <c:catAx>
        <c:axId val="123527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5283455"/>
        <c:crosses val="autoZero"/>
        <c:auto val="1"/>
        <c:lblAlgn val="ctr"/>
        <c:lblOffset val="100"/>
        <c:noMultiLvlLbl val="0"/>
      </c:catAx>
      <c:valAx>
        <c:axId val="12352834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3527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その他　売上表</a:t>
            </a:r>
            <a:endParaRPr lang="ja-JP"/>
          </a:p>
        </c:rich>
      </c:tx>
      <c:layout>
        <c:manualLayout>
          <c:xMode val="edge"/>
          <c:yMode val="edge"/>
          <c:x val="0.34372017452062242"/>
          <c:y val="2.63977677406212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Sheet1!$E$114:$E$115</c:f>
              <c:strCache>
                <c:ptCount val="2"/>
                <c:pt idx="0">
                  <c:v>その他</c:v>
                </c:pt>
                <c:pt idx="1">
                  <c:v>純売上額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Sheet1!$A$116:$B$127</c:f>
              <c:strCache>
                <c:ptCount val="12"/>
                <c:pt idx="1">
                  <c:v>53期（2022.9～2023.8）</c:v>
                </c:pt>
                <c:pt idx="2">
                  <c:v>レ・ヴァン、木曽路、グラップ、あさくま　他</c:v>
                </c:pt>
                <c:pt idx="4">
                  <c:v>54期（2023.9～2024.8）</c:v>
                </c:pt>
                <c:pt idx="5">
                  <c:v>レ・ヴァン、木曽路、JIS　他</c:v>
                </c:pt>
                <c:pt idx="7">
                  <c:v>55期（2024.9～2025.8）</c:v>
                </c:pt>
                <c:pt idx="8">
                  <c:v>レ・ヴァン、木曽路、JIS　他</c:v>
                </c:pt>
                <c:pt idx="10">
                  <c:v>56期（2025.9～2026.8）</c:v>
                </c:pt>
                <c:pt idx="11">
                  <c:v>木曾路、他</c:v>
                </c:pt>
              </c:strCache>
            </c:strRef>
          </c:cat>
          <c:val>
            <c:numRef>
              <c:f>Sheet1!$E$116:$E$127</c:f>
              <c:numCache>
                <c:formatCode>#,##0</c:formatCode>
                <c:ptCount val="12"/>
                <c:pt idx="1">
                  <c:v>24328497</c:v>
                </c:pt>
                <c:pt idx="4">
                  <c:v>40066245</c:v>
                </c:pt>
                <c:pt idx="7">
                  <c:v>34774142</c:v>
                </c:pt>
                <c:pt idx="10">
                  <c:v>12954235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A-4893-B7E9-4F02BB6C2C10}"/>
            </c:ext>
          </c:extLst>
        </c:ser>
        <c:ser>
          <c:idx val="3"/>
          <c:order val="3"/>
          <c:tx>
            <c:strRef>
              <c:f>Sheet1!$F$114:$F$115</c:f>
              <c:strCache>
                <c:ptCount val="2"/>
                <c:pt idx="0">
                  <c:v>その他</c:v>
                </c:pt>
                <c:pt idx="1">
                  <c:v>粗利額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2A-4893-B7E9-4F02BB6C2C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Sheet1!$A$116:$B$127</c:f>
              <c:strCache>
                <c:ptCount val="12"/>
                <c:pt idx="1">
                  <c:v>53期（2022.9～2023.8）</c:v>
                </c:pt>
                <c:pt idx="2">
                  <c:v>レ・ヴァン、木曽路、グラップ、あさくま　他</c:v>
                </c:pt>
                <c:pt idx="4">
                  <c:v>54期（2023.9～2024.8）</c:v>
                </c:pt>
                <c:pt idx="5">
                  <c:v>レ・ヴァン、木曽路、JIS　他</c:v>
                </c:pt>
                <c:pt idx="7">
                  <c:v>55期（2024.9～2025.8）</c:v>
                </c:pt>
                <c:pt idx="8">
                  <c:v>レ・ヴァン、木曽路、JIS　他</c:v>
                </c:pt>
                <c:pt idx="10">
                  <c:v>56期（2025.9～2026.8）</c:v>
                </c:pt>
                <c:pt idx="11">
                  <c:v>木曾路、他</c:v>
                </c:pt>
              </c:strCache>
            </c:strRef>
          </c:cat>
          <c:val>
            <c:numRef>
              <c:f>Sheet1!$F$116:$F$127</c:f>
              <c:numCache>
                <c:formatCode>#,##0</c:formatCode>
                <c:ptCount val="12"/>
                <c:pt idx="1">
                  <c:v>10749650</c:v>
                </c:pt>
                <c:pt idx="4">
                  <c:v>11975352</c:v>
                </c:pt>
                <c:pt idx="7">
                  <c:v>10151970</c:v>
                </c:pt>
                <c:pt idx="10">
                  <c:v>5917051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A-4893-B7E9-4F02BB6C2C10}"/>
            </c:ext>
          </c:extLst>
        </c:ser>
        <c:ser>
          <c:idx val="4"/>
          <c:order val="4"/>
          <c:tx>
            <c:strRef>
              <c:f>Sheet1!$G$114:$G$115</c:f>
              <c:strCache>
                <c:ptCount val="2"/>
                <c:pt idx="0">
                  <c:v>その他</c:v>
                </c:pt>
                <c:pt idx="1">
                  <c:v>粗利率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"/>
              <c:layout>
                <c:manualLayout>
                  <c:x val="5.7774427164280086E-2"/>
                  <c:y val="7.54221935446322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2A-4893-B7E9-4F02BB6C2C10}"/>
                </c:ext>
              </c:extLst>
            </c:dLbl>
            <c:dLbl>
              <c:idx val="4"/>
              <c:layout>
                <c:manualLayout>
                  <c:x val="7.3951266770278426E-2"/>
                  <c:y val="1.1313329031694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2A-4893-B7E9-4F02BB6C2C10}"/>
                </c:ext>
              </c:extLst>
            </c:dLbl>
            <c:dLbl>
              <c:idx val="7"/>
              <c:layout>
                <c:manualLayout>
                  <c:x val="6.470735842399361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2A-4893-B7E9-4F02BB6C2C10}"/>
                </c:ext>
              </c:extLst>
            </c:dLbl>
            <c:dLbl>
              <c:idx val="10"/>
              <c:layout>
                <c:manualLayout>
                  <c:x val="6.7018335510564894E-2"/>
                  <c:y val="-2.63977677406212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2A-4893-B7E9-4F02BB6C2C10}"/>
                </c:ext>
              </c:extLst>
            </c:dLbl>
            <c:dLbl>
              <c:idx val="11"/>
              <c:layout>
                <c:manualLayout>
                  <c:x val="1.0566806253322028E-3"/>
                  <c:y val="0.19232896904097105"/>
                </c:manualLayout>
              </c:layout>
              <c:tx>
                <c:rich>
                  <a:bodyPr/>
                  <a:lstStyle/>
                  <a:p>
                    <a:fld id="{B258F5DF-8A78-4BA6-80C6-84BE290721F2}" type="VALUE">
                      <a:rPr lang="en-US" altLang="ja-JP"/>
                      <a:pPr/>
                      <a:t>[値]</a:t>
                    </a:fld>
                    <a:r>
                      <a:rPr lang="ja-JP" altLang="en-US"/>
                      <a:t>件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D2A-4893-B7E9-4F02BB6C2C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Sheet1!$A$116:$B$127</c:f>
              <c:strCache>
                <c:ptCount val="12"/>
                <c:pt idx="1">
                  <c:v>53期（2022.9～2023.8）</c:v>
                </c:pt>
                <c:pt idx="2">
                  <c:v>レ・ヴァン、木曽路、グラップ、あさくま　他</c:v>
                </c:pt>
                <c:pt idx="4">
                  <c:v>54期（2023.9～2024.8）</c:v>
                </c:pt>
                <c:pt idx="5">
                  <c:v>レ・ヴァン、木曽路、JIS　他</c:v>
                </c:pt>
                <c:pt idx="7">
                  <c:v>55期（2024.9～2025.8）</c:v>
                </c:pt>
                <c:pt idx="8">
                  <c:v>レ・ヴァン、木曽路、JIS　他</c:v>
                </c:pt>
                <c:pt idx="10">
                  <c:v>56期（2025.9～2026.8）</c:v>
                </c:pt>
                <c:pt idx="11">
                  <c:v>木曾路、他</c:v>
                </c:pt>
              </c:strCache>
            </c:strRef>
          </c:cat>
          <c:val>
            <c:numRef>
              <c:f>Sheet1!$G$116:$G$127</c:f>
              <c:numCache>
                <c:formatCode>0.0%</c:formatCode>
                <c:ptCount val="12"/>
                <c:pt idx="1">
                  <c:v>0.44185425840322151</c:v>
                </c:pt>
                <c:pt idx="4">
                  <c:v>0.29888880278149349</c:v>
                </c:pt>
                <c:pt idx="7">
                  <c:v>0.29194020085384131</c:v>
                </c:pt>
                <c:pt idx="10">
                  <c:v>0.45676576038646821</c:v>
                </c:pt>
                <c:pt idx="11" formatCode="General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2A-4893-B7E9-4F02BB6C2C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70803071"/>
        <c:axId val="11707814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Sheet1!$C$114:$C$115</c15:sqref>
                        </c15:formulaRef>
                      </c:ext>
                    </c:extLst>
                    <c:strCache>
                      <c:ptCount val="2"/>
                      <c:pt idx="0">
                        <c:v>その他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Sheet1!$A$116:$B$127</c15:sqref>
                        </c15:formulaRef>
                      </c:ext>
                    </c:extLst>
                    <c:strCache>
                      <c:ptCount val="12"/>
                      <c:pt idx="1">
                        <c:v>53期（2022.9～2023.8）</c:v>
                      </c:pt>
                      <c:pt idx="2">
                        <c:v>レ・ヴァン、木曽路、グラップ、あさくま　他</c:v>
                      </c:pt>
                      <c:pt idx="4">
                        <c:v>54期（2023.9～2024.8）</c:v>
                      </c:pt>
                      <c:pt idx="5">
                        <c:v>レ・ヴァン、木曽路、JIS　他</c:v>
                      </c:pt>
                      <c:pt idx="7">
                        <c:v>55期（2024.9～2025.8）</c:v>
                      </c:pt>
                      <c:pt idx="8">
                        <c:v>レ・ヴァン、木曽路、JIS　他</c:v>
                      </c:pt>
                      <c:pt idx="10">
                        <c:v>56期（2025.9～2026.8）</c:v>
                      </c:pt>
                      <c:pt idx="11">
                        <c:v>木曾路、他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Sheet1!$C$116:$C$127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D2A-4893-B7E9-4F02BB6C2C1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Sheet1!$D$114:$D$115</c15:sqref>
                        </c15:formulaRef>
                      </c:ext>
                    </c:extLst>
                    <c:strCache>
                      <c:ptCount val="2"/>
                      <c:pt idx="0">
                        <c:v>その他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Sheet1!$A$116:$B$127</c15:sqref>
                        </c15:formulaRef>
                      </c:ext>
                    </c:extLst>
                    <c:strCache>
                      <c:ptCount val="12"/>
                      <c:pt idx="1">
                        <c:v>53期（2022.9～2023.8）</c:v>
                      </c:pt>
                      <c:pt idx="2">
                        <c:v>レ・ヴァン、木曽路、グラップ、あさくま　他</c:v>
                      </c:pt>
                      <c:pt idx="4">
                        <c:v>54期（2023.9～2024.8）</c:v>
                      </c:pt>
                      <c:pt idx="5">
                        <c:v>レ・ヴァン、木曽路、JIS　他</c:v>
                      </c:pt>
                      <c:pt idx="7">
                        <c:v>55期（2024.9～2025.8）</c:v>
                      </c:pt>
                      <c:pt idx="8">
                        <c:v>レ・ヴァン、木曽路、JIS　他</c:v>
                      </c:pt>
                      <c:pt idx="10">
                        <c:v>56期（2025.9～2026.8）</c:v>
                      </c:pt>
                      <c:pt idx="11">
                        <c:v>木曾路、他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Sheet1!$D$116:$D$127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D2A-4893-B7E9-4F02BB6C2C10}"/>
                  </c:ext>
                </c:extLst>
              </c15:ser>
            </c15:filteredBarSeries>
          </c:ext>
        </c:extLst>
      </c:barChart>
      <c:catAx>
        <c:axId val="117080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0781471"/>
        <c:crosses val="autoZero"/>
        <c:auto val="1"/>
        <c:lblAlgn val="ctr"/>
        <c:lblOffset val="100"/>
        <c:noMultiLvlLbl val="0"/>
      </c:catAx>
      <c:valAx>
        <c:axId val="11707814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7080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修理のみ合計　売上表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Sheet1!$E$131:$E$132</c:f>
              <c:strCache>
                <c:ptCount val="2"/>
                <c:pt idx="0">
                  <c:v>合計（修理のみ）</c:v>
                </c:pt>
                <c:pt idx="1">
                  <c:v>純売上額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Sheet1!$A$133:$B$155</c:f>
              <c:strCache>
                <c:ptCount val="22"/>
                <c:pt idx="1">
                  <c:v>53期（2022.9～2023.8）</c:v>
                </c:pt>
                <c:pt idx="7">
                  <c:v>54期（2023.9～2024.8）</c:v>
                </c:pt>
                <c:pt idx="14">
                  <c:v>55期（2024.9～2025.8）</c:v>
                </c:pt>
                <c:pt idx="21">
                  <c:v>56期（2025.9～2026.8）</c:v>
                </c:pt>
              </c:strCache>
            </c:strRef>
          </c:cat>
          <c:val>
            <c:numRef>
              <c:f>Sheet1!$E$133:$E$155</c:f>
              <c:numCache>
                <c:formatCode>#,##0</c:formatCode>
                <c:ptCount val="23"/>
                <c:pt idx="1">
                  <c:v>90884262</c:v>
                </c:pt>
                <c:pt idx="7">
                  <c:v>96279549</c:v>
                </c:pt>
                <c:pt idx="14">
                  <c:v>82445100</c:v>
                </c:pt>
                <c:pt idx="21">
                  <c:v>59313425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46-4DC9-93B6-C0FF07C1AC86}"/>
            </c:ext>
          </c:extLst>
        </c:ser>
        <c:ser>
          <c:idx val="3"/>
          <c:order val="3"/>
          <c:tx>
            <c:strRef>
              <c:f>Sheet1!$F$131:$F$132</c:f>
              <c:strCache>
                <c:ptCount val="2"/>
                <c:pt idx="0">
                  <c:v>合計（修理のみ）</c:v>
                </c:pt>
                <c:pt idx="1">
                  <c:v>粗利額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46-4DC9-93B6-C0FF07C1AC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Sheet1!$A$133:$B$155</c:f>
              <c:strCache>
                <c:ptCount val="22"/>
                <c:pt idx="1">
                  <c:v>53期（2022.9～2023.8）</c:v>
                </c:pt>
                <c:pt idx="7">
                  <c:v>54期（2023.9～2024.8）</c:v>
                </c:pt>
                <c:pt idx="14">
                  <c:v>55期（2024.9～2025.8）</c:v>
                </c:pt>
                <c:pt idx="21">
                  <c:v>56期（2025.9～2026.8）</c:v>
                </c:pt>
              </c:strCache>
            </c:strRef>
          </c:cat>
          <c:val>
            <c:numRef>
              <c:f>Sheet1!$F$133:$F$155</c:f>
              <c:numCache>
                <c:formatCode>#,##0</c:formatCode>
                <c:ptCount val="23"/>
                <c:pt idx="1">
                  <c:v>35671996</c:v>
                </c:pt>
                <c:pt idx="7">
                  <c:v>36227553</c:v>
                </c:pt>
                <c:pt idx="14">
                  <c:v>34896914</c:v>
                </c:pt>
                <c:pt idx="21">
                  <c:v>25595195</c:v>
                </c:pt>
                <c:pt idx="2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46-4DC9-93B6-C0FF07C1AC86}"/>
            </c:ext>
          </c:extLst>
        </c:ser>
        <c:ser>
          <c:idx val="4"/>
          <c:order val="4"/>
          <c:tx>
            <c:strRef>
              <c:f>Sheet1!$G$131:$G$132</c:f>
              <c:strCache>
                <c:ptCount val="2"/>
                <c:pt idx="0">
                  <c:v>合計（修理のみ）</c:v>
                </c:pt>
                <c:pt idx="1">
                  <c:v>粗利率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21"/>
              <c:layout>
                <c:manualLayout>
                  <c:x val="4.7387781841364468E-2"/>
                  <c:y val="-3.49597123724086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46-4DC9-93B6-C0FF07C1AC86}"/>
                </c:ext>
              </c:extLst>
            </c:dLbl>
            <c:dLbl>
              <c:idx val="22"/>
              <c:layout>
                <c:manualLayout>
                  <c:x val="3.836153768110457E-2"/>
                  <c:y val="0.13634948481220716"/>
                </c:manualLayout>
              </c:layout>
              <c:tx>
                <c:rich>
                  <a:bodyPr/>
                  <a:lstStyle/>
                  <a:p>
                    <a:fld id="{55DFAF35-EA05-4FE9-9214-1D0487236C7B}" type="VALUE">
                      <a:rPr lang="en-US" altLang="ja-JP"/>
                      <a:pPr/>
                      <a:t>[値]</a:t>
                    </a:fld>
                    <a:r>
                      <a:rPr lang="ja-JP" altLang="en-US"/>
                      <a:t>件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446-4DC9-93B6-C0FF07C1AC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Sheet1!$A$133:$B$155</c:f>
              <c:strCache>
                <c:ptCount val="22"/>
                <c:pt idx="1">
                  <c:v>53期（2022.9～2023.8）</c:v>
                </c:pt>
                <c:pt idx="7">
                  <c:v>54期（2023.9～2024.8）</c:v>
                </c:pt>
                <c:pt idx="14">
                  <c:v>55期（2024.9～2025.8）</c:v>
                </c:pt>
                <c:pt idx="21">
                  <c:v>56期（2025.9～2026.8）</c:v>
                </c:pt>
              </c:strCache>
            </c:strRef>
          </c:cat>
          <c:val>
            <c:numRef>
              <c:f>Sheet1!$G$133:$G$155</c:f>
              <c:numCache>
                <c:formatCode>0.0%</c:formatCode>
                <c:ptCount val="23"/>
                <c:pt idx="1">
                  <c:v>0.39249915458410173</c:v>
                </c:pt>
                <c:pt idx="7">
                  <c:v>0.37627464374599429</c:v>
                </c:pt>
                <c:pt idx="14">
                  <c:v>0.42327456695425197</c:v>
                </c:pt>
                <c:pt idx="21">
                  <c:v>0.43152448202072297</c:v>
                </c:pt>
                <c:pt idx="22" formatCode="General">
                  <c:v>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46-4DC9-93B6-C0FF07C1AC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22334975"/>
        <c:axId val="10223392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Sheet1!$C$131:$C$132</c15:sqref>
                        </c15:formulaRef>
                      </c:ext>
                    </c:extLst>
                    <c:strCache>
                      <c:ptCount val="2"/>
                      <c:pt idx="0">
                        <c:v>合計（修理のみ）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Sheet1!$A$133:$B$155</c15:sqref>
                        </c15:formulaRef>
                      </c:ext>
                    </c:extLst>
                    <c:strCache>
                      <c:ptCount val="22"/>
                      <c:pt idx="1">
                        <c:v>53期（2022.9～2023.8）</c:v>
                      </c:pt>
                      <c:pt idx="7">
                        <c:v>54期（2023.9～2024.8）</c:v>
                      </c:pt>
                      <c:pt idx="14">
                        <c:v>55期（2024.9～2025.8）</c:v>
                      </c:pt>
                      <c:pt idx="21">
                        <c:v>56期（2025.9～2026.8）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Sheet1!$C$133:$C$155</c15:sqref>
                        </c15:formulaRef>
                      </c:ext>
                    </c:extLst>
                    <c:numCache>
                      <c:formatCode>General</c:formatCode>
                      <c:ptCount val="2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446-4DC9-93B6-C0FF07C1AC8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Sheet1!$D$131:$D$132</c15:sqref>
                        </c15:formulaRef>
                      </c:ext>
                    </c:extLst>
                    <c:strCache>
                      <c:ptCount val="2"/>
                      <c:pt idx="0">
                        <c:v>合計（修理のみ）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Sheet1!$A$133:$B$155</c15:sqref>
                        </c15:formulaRef>
                      </c:ext>
                    </c:extLst>
                    <c:strCache>
                      <c:ptCount val="22"/>
                      <c:pt idx="1">
                        <c:v>53期（2022.9～2023.8）</c:v>
                      </c:pt>
                      <c:pt idx="7">
                        <c:v>54期（2023.9～2024.8）</c:v>
                      </c:pt>
                      <c:pt idx="14">
                        <c:v>55期（2024.9～2025.8）</c:v>
                      </c:pt>
                      <c:pt idx="21">
                        <c:v>56期（2025.9～2026.8）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Sheet1!$D$133:$D$155</c15:sqref>
                        </c15:formulaRef>
                      </c:ext>
                    </c:extLst>
                    <c:numCache>
                      <c:formatCode>General</c:formatCode>
                      <c:ptCount val="2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446-4DC9-93B6-C0FF07C1AC86}"/>
                  </c:ext>
                </c:extLst>
              </c15:ser>
            </c15:filteredBarSeries>
          </c:ext>
        </c:extLst>
      </c:barChart>
      <c:catAx>
        <c:axId val="102233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2339295"/>
        <c:crosses val="autoZero"/>
        <c:auto val="1"/>
        <c:lblAlgn val="ctr"/>
        <c:lblOffset val="100"/>
        <c:noMultiLvlLbl val="0"/>
      </c:catAx>
      <c:valAx>
        <c:axId val="10223392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223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13606</xdr:colOff>
      <xdr:row>0</xdr:row>
      <xdr:rowOff>212544</xdr:rowOff>
    </xdr:from>
    <xdr:to>
      <xdr:col>15</xdr:col>
      <xdr:colOff>78441</xdr:colOff>
      <xdr:row>15</xdr:row>
      <xdr:rowOff>10886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575FBCD-A6EC-633C-81BB-2DAB59301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6803</xdr:colOff>
      <xdr:row>16</xdr:row>
      <xdr:rowOff>227238</xdr:rowOff>
    </xdr:from>
    <xdr:to>
      <xdr:col>15</xdr:col>
      <xdr:colOff>99391</xdr:colOff>
      <xdr:row>30</xdr:row>
      <xdr:rowOff>217713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E7FF0B2-998D-110D-5116-E4FC599DF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6802</xdr:colOff>
      <xdr:row>32</xdr:row>
      <xdr:rowOff>227239</xdr:rowOff>
    </xdr:from>
    <xdr:to>
      <xdr:col>15</xdr:col>
      <xdr:colOff>91108</xdr:colOff>
      <xdr:row>46</xdr:row>
      <xdr:rowOff>204107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093B3D9-0AD8-2A0C-FF21-C83984A24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4141</xdr:colOff>
      <xdr:row>48</xdr:row>
      <xdr:rowOff>243509</xdr:rowOff>
    </xdr:from>
    <xdr:to>
      <xdr:col>15</xdr:col>
      <xdr:colOff>91107</xdr:colOff>
      <xdr:row>62</xdr:row>
      <xdr:rowOff>223631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6432F7F-8F7A-A6D9-975A-7F88A30F5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683314</xdr:colOff>
      <xdr:row>64</xdr:row>
      <xdr:rowOff>226942</xdr:rowOff>
    </xdr:from>
    <xdr:to>
      <xdr:col>15</xdr:col>
      <xdr:colOff>16565</xdr:colOff>
      <xdr:row>78</xdr:row>
      <xdr:rowOff>231912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C9A0D09-1809-07A1-FCFF-52C8FBCE4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4141</xdr:colOff>
      <xdr:row>81</xdr:row>
      <xdr:rowOff>3313</xdr:rowOff>
    </xdr:from>
    <xdr:to>
      <xdr:col>15</xdr:col>
      <xdr:colOff>16565</xdr:colOff>
      <xdr:row>94</xdr:row>
      <xdr:rowOff>231913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5A0C4F6-3CA3-99BE-A277-7F028610B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666750</xdr:colOff>
      <xdr:row>96</xdr:row>
      <xdr:rowOff>243509</xdr:rowOff>
    </xdr:from>
    <xdr:to>
      <xdr:col>14</xdr:col>
      <xdr:colOff>902804</xdr:colOff>
      <xdr:row>110</xdr:row>
      <xdr:rowOff>99391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CCC1801-ADAE-ACB5-DFB9-A30F617F0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12423</xdr:colOff>
      <xdr:row>113</xdr:row>
      <xdr:rowOff>11595</xdr:rowOff>
    </xdr:from>
    <xdr:to>
      <xdr:col>15</xdr:col>
      <xdr:colOff>8281</xdr:colOff>
      <xdr:row>126</xdr:row>
      <xdr:rowOff>173934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B7F6205-DB1F-4CE3-B950-929970452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683315</xdr:colOff>
      <xdr:row>130</xdr:row>
      <xdr:rowOff>19877</xdr:rowOff>
    </xdr:from>
    <xdr:to>
      <xdr:col>15</xdr:col>
      <xdr:colOff>124239</xdr:colOff>
      <xdr:row>145</xdr:row>
      <xdr:rowOff>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3AC0A55-9FB3-7236-3CD4-BA701E62F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51DF-AAAD-4D24-A148-9E0ECD896F1D}">
  <dimension ref="A1:CF284"/>
  <sheetViews>
    <sheetView tabSelected="1" zoomScale="85" zoomScaleNormal="85" workbookViewId="0">
      <selection activeCell="BA8" sqref="BA8"/>
    </sheetView>
  </sheetViews>
  <sheetFormatPr defaultRowHeight="18" x14ac:dyDescent="0.55000000000000004"/>
  <cols>
    <col min="5" max="5" width="11.83203125" customWidth="1"/>
    <col min="6" max="6" width="10.5" customWidth="1"/>
    <col min="7" max="7" width="9.33203125" bestFit="1" customWidth="1"/>
    <col min="9" max="9" width="9.5" bestFit="1" customWidth="1"/>
    <col min="10" max="10" width="10.25" customWidth="1"/>
    <col min="11" max="11" width="10.33203125" customWidth="1"/>
    <col min="12" max="12" width="10.58203125" customWidth="1"/>
    <col min="13" max="13" width="10.5" customWidth="1"/>
    <col min="15" max="15" width="12" customWidth="1"/>
    <col min="16" max="16" width="11.08203125" customWidth="1"/>
    <col min="18" max="18" width="12.25" customWidth="1"/>
    <col min="19" max="19" width="10" customWidth="1"/>
    <col min="20" max="20" width="10.83203125" customWidth="1"/>
    <col min="21" max="21" width="10.75" customWidth="1"/>
    <col min="22" max="22" width="11.83203125" customWidth="1"/>
    <col min="23" max="23" width="11.08203125" customWidth="1"/>
    <col min="24" max="24" width="11" customWidth="1"/>
    <col min="25" max="25" width="10.33203125" customWidth="1"/>
    <col min="27" max="27" width="10.58203125" customWidth="1"/>
    <col min="28" max="28" width="11.25" customWidth="1"/>
    <col min="30" max="30" width="11.5" customWidth="1"/>
    <col min="31" max="31" width="11.08203125" customWidth="1"/>
    <col min="33" max="33" width="10.58203125" customWidth="1"/>
    <col min="34" max="34" width="11.5" customWidth="1"/>
    <col min="36" max="36" width="11.25" customWidth="1"/>
    <col min="37" max="37" width="11" customWidth="1"/>
    <col min="39" max="39" width="10.75" customWidth="1"/>
    <col min="40" max="40" width="10.83203125" customWidth="1"/>
    <col min="42" max="42" width="11" customWidth="1"/>
    <col min="43" max="43" width="11.58203125" customWidth="1"/>
    <col min="44" max="44" width="10.25" bestFit="1" customWidth="1"/>
  </cols>
  <sheetData>
    <row r="1" spans="1:52" ht="18.5" thickBot="1" x14ac:dyDescent="0.6"/>
    <row r="2" spans="1:52" ht="18.5" thickBot="1" x14ac:dyDescent="0.6">
      <c r="A2" s="57" t="s">
        <v>0</v>
      </c>
      <c r="B2" s="58"/>
    </row>
    <row r="3" spans="1:52" ht="18.5" thickBot="1" x14ac:dyDescent="0.6">
      <c r="A3" s="59"/>
      <c r="B3" s="60"/>
      <c r="E3" s="22" t="s">
        <v>1</v>
      </c>
      <c r="F3" s="23" t="s">
        <v>2</v>
      </c>
      <c r="G3" s="24" t="s">
        <v>3</v>
      </c>
      <c r="Q3" s="3" t="s">
        <v>4</v>
      </c>
      <c r="R3" s="4"/>
      <c r="S3" s="5"/>
      <c r="T3" s="3" t="s">
        <v>5</v>
      </c>
      <c r="U3" s="4"/>
      <c r="V3" s="5"/>
      <c r="W3" s="6" t="s">
        <v>6</v>
      </c>
      <c r="X3" s="7"/>
      <c r="Y3" s="5"/>
      <c r="Z3" s="3" t="s">
        <v>7</v>
      </c>
      <c r="AA3" s="4"/>
      <c r="AB3" s="5"/>
      <c r="AC3" s="6" t="s">
        <v>8</v>
      </c>
      <c r="AD3" s="7"/>
      <c r="AE3" s="5"/>
      <c r="AF3" s="3" t="s">
        <v>9</v>
      </c>
      <c r="AG3" s="4"/>
      <c r="AH3" s="5"/>
      <c r="AI3" s="3" t="s">
        <v>10</v>
      </c>
      <c r="AJ3" s="4"/>
      <c r="AK3" s="5"/>
      <c r="AL3" s="3" t="s">
        <v>11</v>
      </c>
      <c r="AM3" s="4"/>
      <c r="AN3" s="5"/>
      <c r="AO3" s="3" t="s">
        <v>12</v>
      </c>
      <c r="AP3" s="4"/>
      <c r="AQ3" s="5"/>
      <c r="AR3" s="3" t="s">
        <v>13</v>
      </c>
      <c r="AS3" s="4"/>
      <c r="AT3" s="5"/>
      <c r="AU3" s="3" t="s">
        <v>14</v>
      </c>
      <c r="AV3" s="4"/>
      <c r="AW3" s="5"/>
      <c r="AX3" s="3" t="s">
        <v>15</v>
      </c>
      <c r="AY3" s="4"/>
      <c r="AZ3" s="5"/>
    </row>
    <row r="4" spans="1:52" ht="18.5" thickBot="1" x14ac:dyDescent="0.6">
      <c r="E4" s="19"/>
      <c r="F4" s="20"/>
      <c r="G4" s="21"/>
      <c r="Q4" s="8" t="s">
        <v>16</v>
      </c>
      <c r="R4" s="8" t="s">
        <v>17</v>
      </c>
      <c r="S4" s="9" t="s">
        <v>3</v>
      </c>
      <c r="T4" s="8" t="s">
        <v>16</v>
      </c>
      <c r="U4" s="8" t="s">
        <v>17</v>
      </c>
      <c r="V4" s="9" t="s">
        <v>3</v>
      </c>
      <c r="W4" s="10" t="s">
        <v>16</v>
      </c>
      <c r="X4" s="10" t="s">
        <v>17</v>
      </c>
      <c r="Y4" s="9" t="s">
        <v>3</v>
      </c>
      <c r="Z4" s="11" t="s">
        <v>16</v>
      </c>
      <c r="AA4" s="11" t="s">
        <v>17</v>
      </c>
      <c r="AB4" s="9" t="s">
        <v>3</v>
      </c>
      <c r="AC4" s="10" t="s">
        <v>16</v>
      </c>
      <c r="AD4" s="10" t="s">
        <v>17</v>
      </c>
      <c r="AE4" s="9" t="s">
        <v>3</v>
      </c>
      <c r="AF4" s="8" t="s">
        <v>16</v>
      </c>
      <c r="AG4" s="8" t="s">
        <v>17</v>
      </c>
      <c r="AH4" s="9" t="s">
        <v>3</v>
      </c>
      <c r="AI4" s="8" t="s">
        <v>16</v>
      </c>
      <c r="AJ4" s="8" t="s">
        <v>17</v>
      </c>
      <c r="AK4" s="9" t="s">
        <v>3</v>
      </c>
      <c r="AL4" s="8" t="s">
        <v>16</v>
      </c>
      <c r="AM4" s="8" t="s">
        <v>17</v>
      </c>
      <c r="AN4" s="9" t="s">
        <v>3</v>
      </c>
      <c r="AO4" s="8" t="s">
        <v>16</v>
      </c>
      <c r="AP4" s="8" t="s">
        <v>17</v>
      </c>
      <c r="AQ4" s="9" t="s">
        <v>3</v>
      </c>
      <c r="AR4" s="8" t="s">
        <v>16</v>
      </c>
      <c r="AS4" s="8" t="s">
        <v>17</v>
      </c>
      <c r="AT4" s="9" t="s">
        <v>3</v>
      </c>
      <c r="AU4" s="8" t="s">
        <v>16</v>
      </c>
      <c r="AV4" s="8" t="s">
        <v>17</v>
      </c>
      <c r="AW4" s="9" t="s">
        <v>3</v>
      </c>
      <c r="AX4" s="8" t="s">
        <v>16</v>
      </c>
      <c r="AY4" s="8" t="s">
        <v>17</v>
      </c>
      <c r="AZ4" s="9" t="s">
        <v>3</v>
      </c>
    </row>
    <row r="5" spans="1:52" ht="18.5" thickBot="1" x14ac:dyDescent="0.6">
      <c r="B5" s="28" t="s">
        <v>18</v>
      </c>
      <c r="E5" s="25">
        <f>Q6+T6+W6+Z6+AC6+AF6+AI6+AL6+AO6+AR6+AU6+AX6</f>
        <v>16926280</v>
      </c>
      <c r="F5" s="26">
        <f>SUM(R6,U6,X6,AA6,AD6,AG6,AJ6,AM6,AP6,AS6,AV6,AY6)</f>
        <v>4758184</v>
      </c>
      <c r="G5" s="27">
        <f>F5/E5</f>
        <v>0.28111221130691444</v>
      </c>
      <c r="Q5" s="12"/>
      <c r="R5" s="13"/>
      <c r="S5" s="14"/>
      <c r="T5" s="12"/>
      <c r="U5" s="13"/>
      <c r="V5" s="14"/>
      <c r="W5" s="12"/>
      <c r="X5" s="13"/>
      <c r="Y5" s="14"/>
      <c r="Z5" s="12"/>
      <c r="AA5" s="13"/>
      <c r="AB5" s="14"/>
      <c r="AC5" s="12"/>
      <c r="AD5" s="13"/>
      <c r="AE5" s="14"/>
      <c r="AF5" s="12"/>
      <c r="AG5" s="13"/>
      <c r="AH5" s="14"/>
      <c r="AI5" s="12"/>
      <c r="AJ5" s="13"/>
      <c r="AK5" s="14"/>
      <c r="AL5" s="12"/>
      <c r="AM5" s="13"/>
      <c r="AN5" s="14"/>
      <c r="AO5" s="12"/>
      <c r="AP5" s="13"/>
      <c r="AQ5" s="14"/>
      <c r="AR5" s="12"/>
      <c r="AS5" s="13"/>
      <c r="AT5" s="14"/>
      <c r="AU5" s="12"/>
      <c r="AV5" s="13"/>
      <c r="AW5" s="14"/>
      <c r="AX5" s="12"/>
      <c r="AY5" s="13"/>
      <c r="AZ5" s="14"/>
    </row>
    <row r="6" spans="1:52" x14ac:dyDescent="0.55000000000000004">
      <c r="Q6" s="1">
        <v>1983990</v>
      </c>
      <c r="R6" s="1">
        <v>595816</v>
      </c>
      <c r="S6" s="2">
        <f>R6/Q6</f>
        <v>0.30031199754031018</v>
      </c>
      <c r="T6" s="15">
        <v>1225150</v>
      </c>
      <c r="U6" s="15">
        <v>329591</v>
      </c>
      <c r="V6" s="2">
        <f>U6/T6</f>
        <v>0.26902093621189244</v>
      </c>
      <c r="W6" s="16">
        <v>1609890</v>
      </c>
      <c r="X6" s="16">
        <v>495273</v>
      </c>
      <c r="Y6" s="2">
        <f>X6/W6</f>
        <v>0.30764400052177476</v>
      </c>
      <c r="Z6" s="16">
        <v>929690</v>
      </c>
      <c r="AA6" s="16">
        <v>249310</v>
      </c>
      <c r="AB6" s="2">
        <f>AA6/Z6</f>
        <v>0.26816465703621639</v>
      </c>
      <c r="AC6" s="16">
        <v>2091850</v>
      </c>
      <c r="AD6" s="16">
        <v>549759</v>
      </c>
      <c r="AE6" s="2">
        <f>AD6/AC6</f>
        <v>0.26280995291249371</v>
      </c>
      <c r="AF6" s="17">
        <v>1704040</v>
      </c>
      <c r="AG6" s="17">
        <v>586627</v>
      </c>
      <c r="AH6" s="18">
        <f>AG6/AF6</f>
        <v>0.34425659022088684</v>
      </c>
      <c r="AI6" s="15">
        <v>993680</v>
      </c>
      <c r="AJ6" s="15">
        <v>317295</v>
      </c>
      <c r="AK6" s="18">
        <f>AJ6/AI6</f>
        <v>0.31931305852990904</v>
      </c>
      <c r="AL6" s="15">
        <v>1510800</v>
      </c>
      <c r="AM6" s="15">
        <v>359210</v>
      </c>
      <c r="AN6" s="18">
        <f>AM6/AL6</f>
        <v>0.23776145088694731</v>
      </c>
      <c r="AO6" s="15">
        <v>1293210</v>
      </c>
      <c r="AP6" s="15">
        <v>363988</v>
      </c>
      <c r="AQ6" s="18">
        <f>AP6/AO6</f>
        <v>0.28146086095839035</v>
      </c>
      <c r="AR6" s="15">
        <v>1367760</v>
      </c>
      <c r="AS6" s="15">
        <v>307071</v>
      </c>
      <c r="AT6" s="18">
        <f>AS6/AR6</f>
        <v>0.22450649236708195</v>
      </c>
      <c r="AU6" s="1">
        <v>916490</v>
      </c>
      <c r="AV6" s="1">
        <v>203952</v>
      </c>
      <c r="AW6" s="18">
        <f>AV6/AU6</f>
        <v>0.22253597966153477</v>
      </c>
      <c r="AX6" s="15">
        <v>1299730</v>
      </c>
      <c r="AY6" s="15">
        <v>400292</v>
      </c>
      <c r="AZ6" s="18">
        <f>AY6/AX6</f>
        <v>0.30798088833834719</v>
      </c>
    </row>
    <row r="7" spans="1:52" ht="18.5" thickBot="1" x14ac:dyDescent="0.6"/>
    <row r="8" spans="1:52" ht="18.5" thickBot="1" x14ac:dyDescent="0.6">
      <c r="B8" s="28" t="s">
        <v>19</v>
      </c>
      <c r="E8" s="29">
        <v>16685030</v>
      </c>
      <c r="F8" s="29">
        <v>4568876</v>
      </c>
      <c r="G8" s="30">
        <v>0.27400000000000002</v>
      </c>
    </row>
    <row r="9" spans="1:52" x14ac:dyDescent="0.55000000000000004">
      <c r="Q9" s="1">
        <v>1433240</v>
      </c>
      <c r="R9" s="1">
        <v>389385</v>
      </c>
      <c r="S9" s="2">
        <f>R9/Q9</f>
        <v>0.27168164438614606</v>
      </c>
      <c r="T9" s="1">
        <v>1483800</v>
      </c>
      <c r="U9" s="1">
        <v>387141</v>
      </c>
      <c r="V9" s="2">
        <f>U9/T9</f>
        <v>0.26091184795794581</v>
      </c>
      <c r="W9" s="1">
        <v>1121250</v>
      </c>
      <c r="X9" s="1">
        <v>298415</v>
      </c>
      <c r="Y9" s="2">
        <f>X9/W9</f>
        <v>0.26614492753623187</v>
      </c>
      <c r="Z9" s="1">
        <v>1067610</v>
      </c>
      <c r="AA9" s="1">
        <v>301450</v>
      </c>
      <c r="AB9" s="2">
        <f>AA9/Z9</f>
        <v>0.28235966317288147</v>
      </c>
      <c r="AC9" s="1">
        <v>1454940</v>
      </c>
      <c r="AD9" s="1">
        <v>458363</v>
      </c>
      <c r="AE9" s="2">
        <f>AD9/AC9</f>
        <v>0.31503910814191649</v>
      </c>
      <c r="AF9" s="1">
        <v>2365040</v>
      </c>
      <c r="AG9" s="1">
        <v>601022</v>
      </c>
      <c r="AH9" s="18">
        <f>AG9/AF9</f>
        <v>0.2541276257484017</v>
      </c>
      <c r="AI9" s="1">
        <v>915470</v>
      </c>
      <c r="AJ9" s="1">
        <v>267743</v>
      </c>
      <c r="AK9" s="18">
        <f>AJ9/AI9</f>
        <v>0.2924650725856664</v>
      </c>
      <c r="AL9" s="1">
        <v>1048790</v>
      </c>
      <c r="AM9" s="1">
        <v>260212</v>
      </c>
      <c r="AN9" s="18">
        <f>AM9/AL9</f>
        <v>0.24810686600749435</v>
      </c>
      <c r="AO9" s="1">
        <v>1684600</v>
      </c>
      <c r="AP9" s="1">
        <v>461512</v>
      </c>
      <c r="AQ9" s="18">
        <f>AP9/AO9</f>
        <v>0.2739593968894693</v>
      </c>
      <c r="AR9" s="1">
        <v>1538370</v>
      </c>
      <c r="AS9" s="1">
        <v>457286</v>
      </c>
      <c r="AT9" s="18">
        <f>AS9/AR9</f>
        <v>0.29725358658840201</v>
      </c>
      <c r="AU9" s="1">
        <v>1460870</v>
      </c>
      <c r="AV9" s="1">
        <v>418391</v>
      </c>
      <c r="AW9" s="18">
        <f>AV9/AU9</f>
        <v>0.28639851595282262</v>
      </c>
      <c r="AX9" s="1">
        <v>1111050</v>
      </c>
      <c r="AY9" s="1">
        <v>267956</v>
      </c>
      <c r="AZ9" s="18">
        <f>AY9/AX9</f>
        <v>0.24117366455155034</v>
      </c>
    </row>
    <row r="10" spans="1:52" ht="18.5" thickBot="1" x14ac:dyDescent="0.6"/>
    <row r="11" spans="1:52" ht="18.5" thickBot="1" x14ac:dyDescent="0.6">
      <c r="B11" s="28" t="s">
        <v>20</v>
      </c>
      <c r="E11" s="29">
        <v>13276940</v>
      </c>
      <c r="F11" s="29">
        <v>4213418</v>
      </c>
      <c r="G11" s="30">
        <v>0.317</v>
      </c>
    </row>
    <row r="12" spans="1:52" x14ac:dyDescent="0.55000000000000004">
      <c r="Q12" s="1">
        <v>1082890</v>
      </c>
      <c r="R12" s="1">
        <v>190285</v>
      </c>
      <c r="S12" s="2">
        <f>R12/Q12</f>
        <v>0.17571960217565957</v>
      </c>
      <c r="T12" s="1">
        <v>1159330</v>
      </c>
      <c r="U12" s="1">
        <v>333503</v>
      </c>
      <c r="V12" s="2">
        <f>U12/T12</f>
        <v>0.28766873970310436</v>
      </c>
      <c r="W12" s="1">
        <v>778250</v>
      </c>
      <c r="X12" s="1">
        <v>230713</v>
      </c>
      <c r="Y12" s="2">
        <f>X12/W12</f>
        <v>0.29645101188564088</v>
      </c>
      <c r="Z12" s="1">
        <v>1425100</v>
      </c>
      <c r="AA12" s="1">
        <v>404229</v>
      </c>
      <c r="AB12" s="2">
        <f>AA12/Z12</f>
        <v>0.28364956845133676</v>
      </c>
      <c r="AC12" s="1">
        <v>1276700</v>
      </c>
      <c r="AD12" s="1">
        <v>405468</v>
      </c>
      <c r="AE12" s="2">
        <f>AD12/AC12</f>
        <v>0.31759066342915326</v>
      </c>
      <c r="AF12" s="1">
        <v>1296080</v>
      </c>
      <c r="AG12" s="1">
        <v>474079</v>
      </c>
      <c r="AH12" s="18">
        <f>AG12/AF12</f>
        <v>0.36577911857292761</v>
      </c>
      <c r="AI12" s="1">
        <v>933800</v>
      </c>
      <c r="AJ12" s="1">
        <v>295975</v>
      </c>
      <c r="AK12" s="18">
        <f>AJ12/AI12</f>
        <v>0.31695759263225531</v>
      </c>
      <c r="AL12" s="1">
        <v>1318370</v>
      </c>
      <c r="AM12" s="1">
        <v>500208</v>
      </c>
      <c r="AN12" s="18">
        <f>AM12/AL12</f>
        <v>0.37941397331553356</v>
      </c>
      <c r="AO12" s="1">
        <v>752100</v>
      </c>
      <c r="AP12" s="1">
        <v>280935</v>
      </c>
      <c r="AQ12" s="18">
        <f>AP12/AO12</f>
        <v>0.37353410450737934</v>
      </c>
      <c r="AR12" s="1">
        <v>1065790</v>
      </c>
      <c r="AS12" s="1">
        <v>397490</v>
      </c>
      <c r="AT12" s="18">
        <f>AS12/AR12</f>
        <v>0.37295339607239703</v>
      </c>
      <c r="AU12" s="1">
        <v>912720</v>
      </c>
      <c r="AV12" s="1">
        <v>285615</v>
      </c>
      <c r="AW12" s="18">
        <f>AV12/AU12</f>
        <v>0.31292729424138838</v>
      </c>
      <c r="AX12" s="1">
        <v>1275810</v>
      </c>
      <c r="AY12" s="1">
        <v>414918</v>
      </c>
      <c r="AZ12" s="18">
        <f>AY12/AX12</f>
        <v>0.3252192724622005</v>
      </c>
    </row>
    <row r="13" spans="1:52" ht="18.5" thickBot="1" x14ac:dyDescent="0.6"/>
    <row r="14" spans="1:52" ht="18.5" thickBot="1" x14ac:dyDescent="0.6">
      <c r="B14" s="28" t="s">
        <v>21</v>
      </c>
      <c r="E14" s="29">
        <f>SUM(Q15+T15+W15+Z15+AC15+AF15+AI15+AL15+AO15+AR15+AU15+AX15)</f>
        <v>7475080</v>
      </c>
      <c r="F14" s="29">
        <f>SUM(R15+U15+X15+AA15+AD15+AG15+AJ15+AM15+AP15+AS15+AV15+AY15)</f>
        <v>2508148</v>
      </c>
      <c r="G14" s="30">
        <f>SUM(F14/E14)</f>
        <v>0.33553460297414878</v>
      </c>
    </row>
    <row r="15" spans="1:52" x14ac:dyDescent="0.55000000000000004">
      <c r="F15" t="s">
        <v>40</v>
      </c>
      <c r="G15">
        <f>SUM(S16+V16+Y16+AB16+AE16+AH16+AK16+AN16+AQ16+AT16+AW16+AZ16)</f>
        <v>187</v>
      </c>
      <c r="Q15" s="1">
        <v>1277500</v>
      </c>
      <c r="R15" s="1">
        <v>415993</v>
      </c>
      <c r="S15" s="2">
        <f>R15/Q15</f>
        <v>0.32563052837573386</v>
      </c>
      <c r="T15" s="1">
        <v>857590</v>
      </c>
      <c r="U15" s="1">
        <v>286328</v>
      </c>
      <c r="V15" s="2">
        <f>U15/T15</f>
        <v>0.33387516179059923</v>
      </c>
      <c r="W15" s="1">
        <v>975430</v>
      </c>
      <c r="X15" s="1">
        <v>258210</v>
      </c>
      <c r="Y15" s="2">
        <f>X15/W15</f>
        <v>0.26471402355884072</v>
      </c>
      <c r="Z15" s="1">
        <v>598640</v>
      </c>
      <c r="AA15" s="1">
        <v>188950</v>
      </c>
      <c r="AB15" s="2">
        <f>AA15/Z15</f>
        <v>0.31563209942536413</v>
      </c>
      <c r="AC15" s="1">
        <v>492780</v>
      </c>
      <c r="AD15" s="1">
        <v>148768</v>
      </c>
      <c r="AE15" s="2">
        <f>AD15/AC15</f>
        <v>0.30189536913024068</v>
      </c>
      <c r="AF15" s="1">
        <v>301370</v>
      </c>
      <c r="AG15" s="1">
        <v>33991</v>
      </c>
      <c r="AH15" s="18">
        <f>AG15/AF15</f>
        <v>0.11278826691442413</v>
      </c>
      <c r="AI15" s="31">
        <v>1331600</v>
      </c>
      <c r="AJ15" s="31">
        <v>608453</v>
      </c>
      <c r="AK15" s="18">
        <f>AJ15/AI15</f>
        <v>0.45693376389306101</v>
      </c>
      <c r="AL15" s="1">
        <v>761470</v>
      </c>
      <c r="AM15" s="32">
        <v>211905</v>
      </c>
      <c r="AN15" s="18">
        <f>AM15/AL15</f>
        <v>0.27828410836933826</v>
      </c>
      <c r="AO15" s="1">
        <v>878700</v>
      </c>
      <c r="AP15" s="1">
        <v>355550</v>
      </c>
      <c r="AQ15" s="18">
        <f>AP15/AO15</f>
        <v>0.40463184249459427</v>
      </c>
      <c r="AR15" s="32"/>
      <c r="AS15" s="32"/>
      <c r="AT15" s="18" t="e">
        <f>AS15/AR15</f>
        <v>#DIV/0!</v>
      </c>
      <c r="AU15" s="32"/>
      <c r="AV15" s="32"/>
      <c r="AW15" s="18" t="e">
        <f>AV15/AU15</f>
        <v>#DIV/0!</v>
      </c>
      <c r="AX15" s="32"/>
      <c r="AY15" s="32"/>
      <c r="AZ15" s="18" t="e">
        <f>AY15/AX15</f>
        <v>#DIV/0!</v>
      </c>
    </row>
    <row r="16" spans="1:52" x14ac:dyDescent="0.55000000000000004">
      <c r="I16" s="33"/>
      <c r="J16" s="33"/>
      <c r="K16" s="33"/>
      <c r="L16" s="33"/>
      <c r="M16" s="33"/>
      <c r="N16" s="33"/>
      <c r="O16" s="33"/>
      <c r="Q16" s="33"/>
      <c r="R16" s="33"/>
      <c r="S16" s="33">
        <v>22</v>
      </c>
      <c r="T16" s="33"/>
      <c r="U16" s="33"/>
      <c r="V16" s="33">
        <v>27</v>
      </c>
      <c r="W16" s="33"/>
      <c r="X16" s="33"/>
      <c r="Y16" s="33">
        <v>23</v>
      </c>
      <c r="Z16" s="33"/>
      <c r="AA16" s="33"/>
      <c r="AB16" s="33">
        <v>13</v>
      </c>
      <c r="AC16" s="33"/>
      <c r="AD16" s="33"/>
      <c r="AE16" s="33">
        <v>22</v>
      </c>
      <c r="AF16" s="33"/>
      <c r="AG16" s="33"/>
      <c r="AH16" s="33">
        <v>11</v>
      </c>
      <c r="AI16" s="33"/>
      <c r="AJ16" s="33"/>
      <c r="AK16" s="33">
        <v>34</v>
      </c>
      <c r="AL16" s="33"/>
      <c r="AM16" s="33"/>
      <c r="AN16" s="33">
        <v>14</v>
      </c>
      <c r="AO16" s="33"/>
      <c r="AP16" s="33"/>
      <c r="AQ16" s="33">
        <v>21</v>
      </c>
      <c r="AR16" s="33"/>
      <c r="AS16" s="33"/>
      <c r="AT16" s="33"/>
      <c r="AU16" s="33"/>
      <c r="AV16" s="33"/>
      <c r="AW16" s="33"/>
    </row>
    <row r="17" spans="1:52" ht="18.5" thickBot="1" x14ac:dyDescent="0.6"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</row>
    <row r="18" spans="1:52" ht="18.5" thickBot="1" x14ac:dyDescent="0.6">
      <c r="A18" s="57" t="s">
        <v>22</v>
      </c>
      <c r="B18" s="58"/>
    </row>
    <row r="19" spans="1:52" ht="18.5" thickBot="1" x14ac:dyDescent="0.6">
      <c r="A19" s="59"/>
      <c r="B19" s="60"/>
      <c r="E19" s="22" t="s">
        <v>1</v>
      </c>
      <c r="F19" s="23" t="s">
        <v>2</v>
      </c>
      <c r="G19" s="24" t="s">
        <v>3</v>
      </c>
      <c r="Q19" s="3" t="s">
        <v>4</v>
      </c>
      <c r="R19" s="4"/>
      <c r="S19" s="5"/>
      <c r="T19" s="3" t="s">
        <v>5</v>
      </c>
      <c r="U19" s="4"/>
      <c r="V19" s="5"/>
      <c r="W19" s="6" t="s">
        <v>6</v>
      </c>
      <c r="X19" s="7"/>
      <c r="Y19" s="5"/>
      <c r="Z19" s="3" t="s">
        <v>7</v>
      </c>
      <c r="AA19" s="4"/>
      <c r="AB19" s="5"/>
      <c r="AC19" s="6" t="s">
        <v>8</v>
      </c>
      <c r="AD19" s="7"/>
      <c r="AE19" s="5"/>
      <c r="AF19" s="3" t="s">
        <v>9</v>
      </c>
      <c r="AG19" s="4"/>
      <c r="AH19" s="5"/>
      <c r="AI19" s="3" t="s">
        <v>10</v>
      </c>
      <c r="AJ19" s="4"/>
      <c r="AK19" s="5"/>
      <c r="AL19" s="3" t="s">
        <v>11</v>
      </c>
      <c r="AM19" s="4"/>
      <c r="AN19" s="5"/>
      <c r="AO19" s="3" t="s">
        <v>12</v>
      </c>
      <c r="AP19" s="4"/>
      <c r="AQ19" s="5"/>
      <c r="AR19" s="3" t="s">
        <v>13</v>
      </c>
      <c r="AS19" s="4"/>
      <c r="AT19" s="5"/>
      <c r="AU19" s="3" t="s">
        <v>14</v>
      </c>
      <c r="AV19" s="4"/>
      <c r="AW19" s="5"/>
      <c r="AX19" s="3" t="s">
        <v>15</v>
      </c>
      <c r="AY19" s="4"/>
      <c r="AZ19" s="5"/>
    </row>
    <row r="20" spans="1:52" ht="18.5" thickBot="1" x14ac:dyDescent="0.6">
      <c r="E20" s="19"/>
      <c r="F20" s="20"/>
      <c r="G20" s="21"/>
      <c r="Q20" s="8" t="s">
        <v>16</v>
      </c>
      <c r="R20" s="8" t="s">
        <v>17</v>
      </c>
      <c r="S20" s="9" t="s">
        <v>3</v>
      </c>
      <c r="T20" s="8" t="s">
        <v>16</v>
      </c>
      <c r="U20" s="8" t="s">
        <v>17</v>
      </c>
      <c r="V20" s="9" t="s">
        <v>3</v>
      </c>
      <c r="W20" s="10" t="s">
        <v>16</v>
      </c>
      <c r="X20" s="10" t="s">
        <v>17</v>
      </c>
      <c r="Y20" s="9" t="s">
        <v>3</v>
      </c>
      <c r="Z20" s="11" t="s">
        <v>16</v>
      </c>
      <c r="AA20" s="11" t="s">
        <v>17</v>
      </c>
      <c r="AB20" s="9" t="s">
        <v>3</v>
      </c>
      <c r="AC20" s="10" t="s">
        <v>16</v>
      </c>
      <c r="AD20" s="10" t="s">
        <v>17</v>
      </c>
      <c r="AE20" s="9" t="s">
        <v>3</v>
      </c>
      <c r="AF20" s="8" t="s">
        <v>16</v>
      </c>
      <c r="AG20" s="8" t="s">
        <v>17</v>
      </c>
      <c r="AH20" s="9" t="s">
        <v>3</v>
      </c>
      <c r="AI20" s="8" t="s">
        <v>16</v>
      </c>
      <c r="AJ20" s="8" t="s">
        <v>17</v>
      </c>
      <c r="AK20" s="9" t="s">
        <v>3</v>
      </c>
      <c r="AL20" s="8" t="s">
        <v>16</v>
      </c>
      <c r="AM20" s="8" t="s">
        <v>17</v>
      </c>
      <c r="AN20" s="9" t="s">
        <v>3</v>
      </c>
      <c r="AO20" s="8" t="s">
        <v>16</v>
      </c>
      <c r="AP20" s="8" t="s">
        <v>17</v>
      </c>
      <c r="AQ20" s="9" t="s">
        <v>3</v>
      </c>
      <c r="AR20" s="8" t="s">
        <v>16</v>
      </c>
      <c r="AS20" s="8" t="s">
        <v>17</v>
      </c>
      <c r="AT20" s="9" t="s">
        <v>3</v>
      </c>
      <c r="AU20" s="8" t="s">
        <v>16</v>
      </c>
      <c r="AV20" s="8" t="s">
        <v>17</v>
      </c>
      <c r="AW20" s="9" t="s">
        <v>3</v>
      </c>
      <c r="AX20" s="8" t="s">
        <v>16</v>
      </c>
      <c r="AY20" s="8" t="s">
        <v>17</v>
      </c>
      <c r="AZ20" s="9" t="s">
        <v>3</v>
      </c>
    </row>
    <row r="21" spans="1:52" ht="18.5" thickBot="1" x14ac:dyDescent="0.6">
      <c r="B21" s="28" t="s">
        <v>18</v>
      </c>
      <c r="E21" s="25">
        <v>6239510</v>
      </c>
      <c r="F21" s="26">
        <v>1927717</v>
      </c>
      <c r="G21" s="27">
        <f>F21/E21</f>
        <v>0.30895326716360738</v>
      </c>
      <c r="Q21" s="12"/>
      <c r="R21" s="13"/>
      <c r="S21" s="14"/>
      <c r="T21" s="12"/>
      <c r="U21" s="13"/>
      <c r="V21" s="14"/>
      <c r="W21" s="12"/>
      <c r="X21" s="13"/>
      <c r="Y21" s="14"/>
      <c r="Z21" s="12"/>
      <c r="AA21" s="13"/>
      <c r="AB21" s="14"/>
      <c r="AC21" s="12"/>
      <c r="AD21" s="13"/>
      <c r="AE21" s="14"/>
      <c r="AF21" s="12"/>
      <c r="AG21" s="13"/>
      <c r="AH21" s="14"/>
      <c r="AI21" s="12"/>
      <c r="AJ21" s="13"/>
      <c r="AK21" s="14"/>
      <c r="AL21" s="12"/>
      <c r="AM21" s="13"/>
      <c r="AN21" s="14"/>
      <c r="AO21" s="12"/>
      <c r="AP21" s="13"/>
      <c r="AQ21" s="14"/>
      <c r="AR21" s="12"/>
      <c r="AS21" s="13"/>
      <c r="AT21" s="14"/>
      <c r="AU21" s="12"/>
      <c r="AV21" s="13"/>
      <c r="AW21" s="14"/>
      <c r="AX21" s="12"/>
      <c r="AY21" s="13"/>
      <c r="AZ21" s="14"/>
    </row>
    <row r="22" spans="1:52" x14ac:dyDescent="0.55000000000000004">
      <c r="Q22" s="1">
        <v>9300</v>
      </c>
      <c r="R22" s="1">
        <v>2900</v>
      </c>
      <c r="S22" s="2">
        <f>R22/Q22</f>
        <v>0.31182795698924731</v>
      </c>
      <c r="T22" s="15">
        <v>101400</v>
      </c>
      <c r="U22" s="15">
        <v>60604</v>
      </c>
      <c r="V22" s="2">
        <f>U22/T22</f>
        <v>0.59767258382642996</v>
      </c>
      <c r="W22" s="16">
        <v>898360</v>
      </c>
      <c r="X22" s="16">
        <v>289920</v>
      </c>
      <c r="Y22" s="2">
        <f>X22/W22</f>
        <v>0.32272140344627986</v>
      </c>
      <c r="Z22" s="16">
        <v>102970</v>
      </c>
      <c r="AA22" s="16">
        <v>42070</v>
      </c>
      <c r="AB22" s="2">
        <f>AA22/Z22</f>
        <v>0.40856560163154315</v>
      </c>
      <c r="AC22" s="16">
        <v>758940</v>
      </c>
      <c r="AD22" s="16">
        <v>210108</v>
      </c>
      <c r="AE22" s="2">
        <f>AD22/AC22</f>
        <v>0.27684401929006247</v>
      </c>
      <c r="AF22" s="17">
        <v>608390</v>
      </c>
      <c r="AG22" s="17">
        <v>209248</v>
      </c>
      <c r="AH22" s="18">
        <f>AG22/AF22</f>
        <v>0.3439372770755601</v>
      </c>
      <c r="AI22" s="15">
        <v>278480</v>
      </c>
      <c r="AJ22" s="15">
        <v>100619</v>
      </c>
      <c r="AK22" s="18">
        <f>AJ22/AI22</f>
        <v>0.36131499569089343</v>
      </c>
      <c r="AL22" s="15">
        <v>2104960</v>
      </c>
      <c r="AM22" s="15">
        <v>534077</v>
      </c>
      <c r="AN22" s="18">
        <f>AM22/AL22</f>
        <v>0.25372311112800244</v>
      </c>
      <c r="AO22" s="15">
        <v>440150</v>
      </c>
      <c r="AP22" s="15">
        <v>172140</v>
      </c>
      <c r="AQ22" s="18">
        <f>AP22/AO22</f>
        <v>0.39109394524593888</v>
      </c>
      <c r="AR22" s="15">
        <v>299720</v>
      </c>
      <c r="AS22" s="15">
        <v>106645</v>
      </c>
      <c r="AT22" s="18">
        <f>AS22/AR22</f>
        <v>0.35581542773255037</v>
      </c>
      <c r="AU22" s="1">
        <v>380920</v>
      </c>
      <c r="AV22" s="1">
        <v>119224</v>
      </c>
      <c r="AW22" s="18">
        <f>AV22/AU22</f>
        <v>0.31298960411634991</v>
      </c>
      <c r="AX22" s="15">
        <v>255920</v>
      </c>
      <c r="AY22" s="15">
        <v>80162</v>
      </c>
      <c r="AZ22" s="18">
        <f>AY22/AX22</f>
        <v>0.31323069709284151</v>
      </c>
    </row>
    <row r="23" spans="1:52" ht="18.5" thickBot="1" x14ac:dyDescent="0.6"/>
    <row r="24" spans="1:52" ht="18.5" thickBot="1" x14ac:dyDescent="0.6">
      <c r="B24" s="28" t="s">
        <v>19</v>
      </c>
      <c r="E24" s="29">
        <v>5684830</v>
      </c>
      <c r="F24" s="29">
        <v>2004062</v>
      </c>
      <c r="G24" s="30">
        <v>0.35299999999999998</v>
      </c>
    </row>
    <row r="25" spans="1:52" x14ac:dyDescent="0.55000000000000004">
      <c r="Q25" s="1">
        <v>595070</v>
      </c>
      <c r="R25" s="1">
        <v>208639</v>
      </c>
      <c r="S25" s="2">
        <v>0.35061253297931338</v>
      </c>
      <c r="T25" s="1">
        <v>576090</v>
      </c>
      <c r="U25" s="1">
        <v>205470</v>
      </c>
      <c r="V25" s="2">
        <v>0.35666302140290579</v>
      </c>
      <c r="W25" s="1">
        <v>104190</v>
      </c>
      <c r="X25" s="1">
        <v>44727</v>
      </c>
      <c r="Y25" s="2">
        <v>0.42928304059890582</v>
      </c>
      <c r="Z25" s="1">
        <v>157000</v>
      </c>
      <c r="AA25" s="1">
        <v>56850</v>
      </c>
      <c r="AB25" s="2">
        <v>0.36210191082802545</v>
      </c>
      <c r="AC25" s="1">
        <v>1291740</v>
      </c>
      <c r="AD25" s="1">
        <v>411646</v>
      </c>
      <c r="AE25" s="2">
        <v>0.31867558487002029</v>
      </c>
      <c r="AF25" s="1">
        <v>135680</v>
      </c>
      <c r="AG25" s="1">
        <v>74146</v>
      </c>
      <c r="AH25" s="18">
        <v>0.54647700471698113</v>
      </c>
      <c r="AI25" s="1">
        <v>645070</v>
      </c>
      <c r="AJ25" s="1">
        <v>223750</v>
      </c>
      <c r="AK25" s="18">
        <v>0.34686158091369929</v>
      </c>
      <c r="AL25" s="1">
        <v>622800</v>
      </c>
      <c r="AM25" s="1">
        <v>244250</v>
      </c>
      <c r="AN25" s="18">
        <v>0.39218047527296085</v>
      </c>
      <c r="AO25" s="1">
        <v>510950</v>
      </c>
      <c r="AP25" s="1">
        <v>200990</v>
      </c>
      <c r="AQ25" s="18">
        <v>0.39336529993150016</v>
      </c>
      <c r="AR25" s="1">
        <v>221600</v>
      </c>
      <c r="AS25" s="1">
        <v>58000</v>
      </c>
      <c r="AT25" s="18">
        <v>0.26173285198555957</v>
      </c>
      <c r="AU25" s="1">
        <v>542460</v>
      </c>
      <c r="AV25" s="1">
        <v>179784</v>
      </c>
      <c r="AW25" s="18">
        <v>0.33142351509788742</v>
      </c>
      <c r="AX25" s="1">
        <v>282180</v>
      </c>
      <c r="AY25" s="1">
        <v>95810</v>
      </c>
      <c r="AZ25" s="18">
        <v>0.33953504855057054</v>
      </c>
    </row>
    <row r="26" spans="1:52" ht="18.5" thickBot="1" x14ac:dyDescent="0.6"/>
    <row r="27" spans="1:52" ht="18.5" thickBot="1" x14ac:dyDescent="0.6">
      <c r="B27" s="28" t="s">
        <v>20</v>
      </c>
      <c r="E27" s="29">
        <v>6815910</v>
      </c>
      <c r="F27" s="29">
        <v>2361261</v>
      </c>
      <c r="G27" s="30">
        <v>0.34599999999999997</v>
      </c>
    </row>
    <row r="28" spans="1:52" x14ac:dyDescent="0.55000000000000004">
      <c r="Q28" s="1">
        <v>888900</v>
      </c>
      <c r="R28" s="1">
        <v>266800</v>
      </c>
      <c r="S28" s="2">
        <v>0.30014624817189783</v>
      </c>
      <c r="T28" s="1">
        <v>125500</v>
      </c>
      <c r="U28" s="1">
        <v>42360</v>
      </c>
      <c r="V28" s="2">
        <v>0.33752988047808763</v>
      </c>
      <c r="W28" s="1">
        <v>445600</v>
      </c>
      <c r="X28" s="1">
        <v>165788</v>
      </c>
      <c r="Y28" s="2">
        <v>0.3720556552962298</v>
      </c>
      <c r="Z28" s="1">
        <v>1159610</v>
      </c>
      <c r="AA28" s="1">
        <v>367711</v>
      </c>
      <c r="AB28" s="2">
        <v>0.3170988522003087</v>
      </c>
      <c r="AC28" s="1">
        <v>198300</v>
      </c>
      <c r="AD28" s="1">
        <v>82252</v>
      </c>
      <c r="AE28" s="2">
        <v>0.41478567826525464</v>
      </c>
      <c r="AF28" s="1">
        <v>96900</v>
      </c>
      <c r="AG28" s="1">
        <v>35900</v>
      </c>
      <c r="AH28" s="18">
        <v>0.37048503611971106</v>
      </c>
      <c r="AI28" s="1">
        <v>381950</v>
      </c>
      <c r="AJ28" s="1">
        <v>150350</v>
      </c>
      <c r="AK28" s="18">
        <v>0.39363791072129861</v>
      </c>
      <c r="AL28" s="1">
        <v>289700</v>
      </c>
      <c r="AM28" s="1">
        <v>104780</v>
      </c>
      <c r="AN28" s="18">
        <v>0.36168450120814638</v>
      </c>
      <c r="AO28" s="1">
        <v>577720</v>
      </c>
      <c r="AP28" s="1">
        <v>244627</v>
      </c>
      <c r="AQ28" s="18">
        <v>0.42343522813819845</v>
      </c>
      <c r="AR28" s="1">
        <v>303240</v>
      </c>
      <c r="AS28" s="1">
        <v>100640</v>
      </c>
      <c r="AT28" s="18">
        <v>0.33188233742250361</v>
      </c>
      <c r="AU28" s="1">
        <v>2068650</v>
      </c>
      <c r="AV28" s="1">
        <v>696813</v>
      </c>
      <c r="AW28" s="18">
        <v>0.33684431875861071</v>
      </c>
      <c r="AX28" s="1">
        <v>279840</v>
      </c>
      <c r="AY28" s="1">
        <v>103240</v>
      </c>
      <c r="AZ28" s="18">
        <v>0.36892510005717555</v>
      </c>
    </row>
    <row r="29" spans="1:52" ht="18.5" thickBot="1" x14ac:dyDescent="0.6"/>
    <row r="30" spans="1:52" ht="18.5" thickBot="1" x14ac:dyDescent="0.6">
      <c r="B30" s="28" t="s">
        <v>21</v>
      </c>
      <c r="E30" s="29">
        <f>SUM(Q31+T31+W31+Z31+AC31+AF31+AI31+AL31+AO31+AR31+AU31+AX31)</f>
        <v>5105270</v>
      </c>
      <c r="F30" s="29">
        <f>SUM(R31+U31+X31+AA31+AD31+AG31+AJ31+AM31+AP31+AS31+AV31+AY31)</f>
        <v>2098938</v>
      </c>
      <c r="G30" s="30">
        <f>SUM(F30/E30)</f>
        <v>0.41113163456585056</v>
      </c>
    </row>
    <row r="31" spans="1:52" x14ac:dyDescent="0.55000000000000004">
      <c r="F31" t="s">
        <v>40</v>
      </c>
      <c r="G31">
        <f>SUM(S32+V32+Y32+AB32+AE32+AH32+AK32+AN32+AQ32+AT32+AW32+AZ32)</f>
        <v>82</v>
      </c>
      <c r="Q31" s="1">
        <v>252720</v>
      </c>
      <c r="R31" s="1">
        <v>91849</v>
      </c>
      <c r="S31" s="2">
        <f>R31/Q31</f>
        <v>0.36344175371953152</v>
      </c>
      <c r="T31" s="1">
        <v>1146990</v>
      </c>
      <c r="U31" s="1">
        <v>445107</v>
      </c>
      <c r="V31" s="2">
        <f>U31/T31</f>
        <v>0.38806528391703504</v>
      </c>
      <c r="W31" s="1">
        <v>588940</v>
      </c>
      <c r="X31" s="1">
        <v>200590</v>
      </c>
      <c r="Y31" s="2">
        <f>X31/W31</f>
        <v>0.34059496722925936</v>
      </c>
      <c r="Z31" s="1">
        <v>0</v>
      </c>
      <c r="AA31" s="1">
        <v>0</v>
      </c>
      <c r="AB31" s="2" t="e">
        <f>AA31/Z31</f>
        <v>#DIV/0!</v>
      </c>
      <c r="AC31" s="1">
        <v>531540</v>
      </c>
      <c r="AD31" s="1">
        <v>313440</v>
      </c>
      <c r="AE31" s="2">
        <f>AD31/AC31</f>
        <v>0.58968280844339094</v>
      </c>
      <c r="AF31" s="1">
        <v>540680</v>
      </c>
      <c r="AG31" s="1">
        <v>262960</v>
      </c>
      <c r="AH31" s="2">
        <f>AG31/AF31</f>
        <v>0.48635052156543612</v>
      </c>
      <c r="AI31" s="31">
        <v>446800</v>
      </c>
      <c r="AJ31" s="31">
        <v>177320</v>
      </c>
      <c r="AK31" s="2">
        <f>AJ31/AI31</f>
        <v>0.39686660698299014</v>
      </c>
      <c r="AL31" s="32">
        <v>776400</v>
      </c>
      <c r="AM31" s="32">
        <v>308847</v>
      </c>
      <c r="AN31" s="2">
        <f>AM31/AL31</f>
        <v>0.39779366306027819</v>
      </c>
      <c r="AO31" s="1">
        <v>821200</v>
      </c>
      <c r="AP31" s="1">
        <v>298825</v>
      </c>
      <c r="AQ31" s="2">
        <f>AP31/AO31</f>
        <v>0.36388821237213831</v>
      </c>
      <c r="AR31" s="32"/>
      <c r="AS31" s="32"/>
      <c r="AT31" s="2" t="e">
        <f>AS31/AR31</f>
        <v>#DIV/0!</v>
      </c>
      <c r="AU31" s="32"/>
      <c r="AV31" s="32"/>
      <c r="AW31" s="2" t="e">
        <f>AV31/AU31</f>
        <v>#DIV/0!</v>
      </c>
      <c r="AX31" s="32"/>
      <c r="AY31" s="32"/>
      <c r="AZ31" s="2" t="e">
        <f>AY31/AX31</f>
        <v>#DIV/0!</v>
      </c>
    </row>
    <row r="32" spans="1:52" x14ac:dyDescent="0.55000000000000004">
      <c r="Q32" s="33"/>
      <c r="R32" s="33"/>
      <c r="S32" s="33">
        <v>8</v>
      </c>
      <c r="T32" s="33"/>
      <c r="U32" s="33"/>
      <c r="V32" s="33">
        <v>12</v>
      </c>
      <c r="W32" s="33"/>
      <c r="X32" s="33"/>
      <c r="Y32" s="33">
        <v>8</v>
      </c>
      <c r="Z32" s="33"/>
      <c r="AA32" s="33"/>
      <c r="AB32" s="33">
        <v>3</v>
      </c>
      <c r="AC32" s="33"/>
      <c r="AD32" s="33"/>
      <c r="AE32" s="33">
        <v>11</v>
      </c>
      <c r="AF32" s="33"/>
      <c r="AG32" s="33"/>
      <c r="AH32" s="33">
        <v>8</v>
      </c>
      <c r="AI32" s="33"/>
      <c r="AJ32" s="33"/>
      <c r="AK32" s="33">
        <v>11</v>
      </c>
      <c r="AN32">
        <v>13</v>
      </c>
      <c r="AQ32">
        <v>8</v>
      </c>
    </row>
    <row r="33" spans="1:52" ht="18.5" thickBot="1" x14ac:dyDescent="0.6"/>
    <row r="34" spans="1:52" ht="18.5" thickBot="1" x14ac:dyDescent="0.6">
      <c r="A34" s="57" t="s">
        <v>23</v>
      </c>
      <c r="B34" s="58"/>
    </row>
    <row r="35" spans="1:52" ht="18.5" thickBot="1" x14ac:dyDescent="0.6">
      <c r="A35" s="59"/>
      <c r="B35" s="60"/>
      <c r="E35" s="22" t="s">
        <v>1</v>
      </c>
      <c r="F35" s="23" t="s">
        <v>2</v>
      </c>
      <c r="G35" s="24" t="s">
        <v>3</v>
      </c>
      <c r="Q35" s="3" t="s">
        <v>4</v>
      </c>
      <c r="R35" s="4"/>
      <c r="S35" s="5"/>
      <c r="T35" s="3" t="s">
        <v>5</v>
      </c>
      <c r="U35" s="4"/>
      <c r="V35" s="5"/>
      <c r="W35" s="6" t="s">
        <v>6</v>
      </c>
      <c r="X35" s="7"/>
      <c r="Y35" s="5"/>
      <c r="Z35" s="3" t="s">
        <v>7</v>
      </c>
      <c r="AA35" s="4"/>
      <c r="AB35" s="5"/>
      <c r="AC35" s="6" t="s">
        <v>8</v>
      </c>
      <c r="AD35" s="7"/>
      <c r="AE35" s="5"/>
      <c r="AF35" s="3" t="s">
        <v>9</v>
      </c>
      <c r="AG35" s="4"/>
      <c r="AH35" s="5"/>
      <c r="AI35" s="3" t="s">
        <v>10</v>
      </c>
      <c r="AJ35" s="4"/>
      <c r="AK35" s="5"/>
      <c r="AL35" s="3" t="s">
        <v>11</v>
      </c>
      <c r="AM35" s="4"/>
      <c r="AN35" s="5"/>
      <c r="AO35" s="3" t="s">
        <v>12</v>
      </c>
      <c r="AP35" s="4"/>
      <c r="AQ35" s="5"/>
      <c r="AR35" s="3" t="s">
        <v>13</v>
      </c>
      <c r="AS35" s="4"/>
      <c r="AT35" s="5"/>
      <c r="AU35" s="3" t="s">
        <v>14</v>
      </c>
      <c r="AV35" s="4"/>
      <c r="AW35" s="5"/>
      <c r="AX35" s="3" t="s">
        <v>15</v>
      </c>
      <c r="AY35" s="4"/>
      <c r="AZ35" s="5"/>
    </row>
    <row r="36" spans="1:52" ht="18.5" thickBot="1" x14ac:dyDescent="0.6">
      <c r="E36" s="19"/>
      <c r="F36" s="20"/>
      <c r="G36" s="21"/>
      <c r="Q36" s="8" t="s">
        <v>16</v>
      </c>
      <c r="R36" s="8" t="s">
        <v>17</v>
      </c>
      <c r="S36" s="9" t="s">
        <v>3</v>
      </c>
      <c r="T36" s="8" t="s">
        <v>16</v>
      </c>
      <c r="U36" s="8" t="s">
        <v>17</v>
      </c>
      <c r="V36" s="9" t="s">
        <v>3</v>
      </c>
      <c r="W36" s="10" t="s">
        <v>16</v>
      </c>
      <c r="X36" s="10" t="s">
        <v>17</v>
      </c>
      <c r="Y36" s="9" t="s">
        <v>3</v>
      </c>
      <c r="Z36" s="11" t="s">
        <v>16</v>
      </c>
      <c r="AA36" s="11" t="s">
        <v>17</v>
      </c>
      <c r="AB36" s="9" t="s">
        <v>3</v>
      </c>
      <c r="AC36" s="10" t="s">
        <v>16</v>
      </c>
      <c r="AD36" s="10" t="s">
        <v>17</v>
      </c>
      <c r="AE36" s="9" t="s">
        <v>3</v>
      </c>
      <c r="AF36" s="8" t="s">
        <v>16</v>
      </c>
      <c r="AG36" s="8" t="s">
        <v>17</v>
      </c>
      <c r="AH36" s="9" t="s">
        <v>3</v>
      </c>
      <c r="AI36" s="8" t="s">
        <v>16</v>
      </c>
      <c r="AJ36" s="8" t="s">
        <v>17</v>
      </c>
      <c r="AK36" s="9" t="s">
        <v>3</v>
      </c>
      <c r="AL36" s="8" t="s">
        <v>16</v>
      </c>
      <c r="AM36" s="8" t="s">
        <v>17</v>
      </c>
      <c r="AN36" s="9" t="s">
        <v>3</v>
      </c>
      <c r="AO36" s="8" t="s">
        <v>16</v>
      </c>
      <c r="AP36" s="8" t="s">
        <v>17</v>
      </c>
      <c r="AQ36" s="9" t="s">
        <v>3</v>
      </c>
      <c r="AR36" s="8" t="s">
        <v>16</v>
      </c>
      <c r="AS36" s="8" t="s">
        <v>17</v>
      </c>
      <c r="AT36" s="9" t="s">
        <v>3</v>
      </c>
      <c r="AU36" s="8" t="s">
        <v>16</v>
      </c>
      <c r="AV36" s="8" t="s">
        <v>17</v>
      </c>
      <c r="AW36" s="9" t="s">
        <v>3</v>
      </c>
      <c r="AX36" s="8" t="s">
        <v>16</v>
      </c>
      <c r="AY36" s="8" t="s">
        <v>17</v>
      </c>
      <c r="AZ36" s="9" t="s">
        <v>3</v>
      </c>
    </row>
    <row r="37" spans="1:52" ht="18.5" thickBot="1" x14ac:dyDescent="0.6">
      <c r="B37" s="28" t="s">
        <v>18</v>
      </c>
      <c r="E37" s="25">
        <v>10318770</v>
      </c>
      <c r="F37" s="26">
        <v>3931427</v>
      </c>
      <c r="G37" s="27">
        <f>F37/E37</f>
        <v>0.38099763828440791</v>
      </c>
      <c r="Q37" s="12"/>
      <c r="R37" s="13"/>
      <c r="S37" s="14"/>
      <c r="T37" s="12"/>
      <c r="U37" s="13"/>
      <c r="V37" s="14"/>
      <c r="W37" s="12"/>
      <c r="X37" s="13"/>
      <c r="Y37" s="14"/>
      <c r="Z37" s="12"/>
      <c r="AA37" s="13"/>
      <c r="AB37" s="14"/>
      <c r="AC37" s="12"/>
      <c r="AD37" s="13"/>
      <c r="AE37" s="14"/>
      <c r="AF37" s="12"/>
      <c r="AG37" s="13"/>
      <c r="AH37" s="14"/>
      <c r="AI37" s="12"/>
      <c r="AJ37" s="13"/>
      <c r="AK37" s="14"/>
      <c r="AL37" s="12"/>
      <c r="AM37" s="13"/>
      <c r="AN37" s="14"/>
      <c r="AO37" s="12"/>
      <c r="AP37" s="13"/>
      <c r="AQ37" s="14"/>
      <c r="AR37" s="12"/>
      <c r="AS37" s="13"/>
      <c r="AT37" s="14"/>
      <c r="AU37" s="12"/>
      <c r="AV37" s="13"/>
      <c r="AW37" s="14"/>
      <c r="AX37" s="12"/>
      <c r="AY37" s="13"/>
      <c r="AZ37" s="14"/>
    </row>
    <row r="38" spans="1:52" x14ac:dyDescent="0.55000000000000004">
      <c r="Q38" s="1">
        <v>751640</v>
      </c>
      <c r="R38" s="1">
        <v>232148</v>
      </c>
      <c r="S38" s="2">
        <v>0.30885530307061893</v>
      </c>
      <c r="T38" s="15">
        <v>684860</v>
      </c>
      <c r="U38" s="15">
        <v>179072</v>
      </c>
      <c r="V38" s="2">
        <v>0.26147241772041002</v>
      </c>
      <c r="W38" s="16">
        <v>670630</v>
      </c>
      <c r="X38" s="16">
        <v>340373</v>
      </c>
      <c r="Y38" s="2">
        <v>0.50754216184781475</v>
      </c>
      <c r="Z38" s="16">
        <v>602790</v>
      </c>
      <c r="AA38" s="16">
        <v>255129</v>
      </c>
      <c r="AB38" s="2">
        <v>0.42324690190613645</v>
      </c>
      <c r="AC38" s="16">
        <v>706380</v>
      </c>
      <c r="AD38" s="16">
        <v>263908</v>
      </c>
      <c r="AE38" s="2">
        <v>0.3736062742433251</v>
      </c>
      <c r="AF38" s="17">
        <v>615230</v>
      </c>
      <c r="AG38" s="17">
        <v>250854</v>
      </c>
      <c r="AH38" s="18">
        <v>0.40774019472392437</v>
      </c>
      <c r="AI38" s="15">
        <v>940060</v>
      </c>
      <c r="AJ38" s="15">
        <v>327789</v>
      </c>
      <c r="AK38" s="18">
        <v>0.34868944535455182</v>
      </c>
      <c r="AL38" s="15">
        <v>642670</v>
      </c>
      <c r="AM38" s="15">
        <v>288598</v>
      </c>
      <c r="AN38" s="18">
        <v>0.44906094885399972</v>
      </c>
      <c r="AO38" s="15">
        <v>1092000</v>
      </c>
      <c r="AP38" s="15">
        <v>461976</v>
      </c>
      <c r="AQ38" s="18">
        <v>0.42305494505494506</v>
      </c>
      <c r="AR38" s="15">
        <v>1187990</v>
      </c>
      <c r="AS38" s="15">
        <v>462041</v>
      </c>
      <c r="AT38" s="18">
        <v>0.38892667446695678</v>
      </c>
      <c r="AU38" s="1">
        <v>1289170</v>
      </c>
      <c r="AV38" s="1">
        <v>450253</v>
      </c>
      <c r="AW38" s="18">
        <v>0.34925804975294183</v>
      </c>
      <c r="AX38" s="15">
        <v>1135350</v>
      </c>
      <c r="AY38" s="15">
        <v>419286</v>
      </c>
      <c r="AZ38" s="18">
        <v>0.36930109657814769</v>
      </c>
    </row>
    <row r="39" spans="1:52" ht="18.5" thickBot="1" x14ac:dyDescent="0.6"/>
    <row r="40" spans="1:52" ht="18.5" thickBot="1" x14ac:dyDescent="0.6">
      <c r="B40" s="28" t="s">
        <v>19</v>
      </c>
      <c r="E40" s="29">
        <v>12215560</v>
      </c>
      <c r="F40" s="29">
        <v>4541611</v>
      </c>
      <c r="G40" s="30">
        <v>0.372</v>
      </c>
    </row>
    <row r="41" spans="1:52" x14ac:dyDescent="0.55000000000000004">
      <c r="Q41" s="1">
        <v>1269080</v>
      </c>
      <c r="R41" s="1">
        <v>544699</v>
      </c>
      <c r="S41" s="2">
        <v>0.42920777255964954</v>
      </c>
      <c r="T41" s="1">
        <v>1204190</v>
      </c>
      <c r="U41" s="1">
        <v>537444</v>
      </c>
      <c r="V41" s="2">
        <v>0.44631162856359879</v>
      </c>
      <c r="W41" s="1">
        <v>735290</v>
      </c>
      <c r="X41" s="1">
        <v>240665</v>
      </c>
      <c r="Y41" s="2">
        <v>0.32730623291490435</v>
      </c>
      <c r="Z41" s="1">
        <v>1360280</v>
      </c>
      <c r="AA41" s="1">
        <v>421043</v>
      </c>
      <c r="AB41" s="2">
        <v>0.30952671508807011</v>
      </c>
      <c r="AC41" s="1">
        <v>499330</v>
      </c>
      <c r="AD41" s="1">
        <v>135090</v>
      </c>
      <c r="AE41" s="2">
        <v>0.27054252698616144</v>
      </c>
      <c r="AF41" s="1">
        <v>1084000</v>
      </c>
      <c r="AG41" s="1">
        <v>415584</v>
      </c>
      <c r="AH41" s="18">
        <v>0.38338007380073802</v>
      </c>
      <c r="AI41" s="1">
        <v>862700</v>
      </c>
      <c r="AJ41" s="1">
        <v>322689</v>
      </c>
      <c r="AK41" s="18">
        <v>0.37404543873884316</v>
      </c>
      <c r="AL41" s="1">
        <v>1046530</v>
      </c>
      <c r="AM41" s="1">
        <v>416528</v>
      </c>
      <c r="AN41" s="18">
        <v>0.3980086571813517</v>
      </c>
      <c r="AO41" s="1">
        <v>1040860</v>
      </c>
      <c r="AP41" s="1">
        <v>377559</v>
      </c>
      <c r="AQ41" s="18">
        <v>0.36273754395403801</v>
      </c>
      <c r="AR41" s="1">
        <v>666940</v>
      </c>
      <c r="AS41" s="1">
        <v>254757</v>
      </c>
      <c r="AT41" s="18">
        <v>0.38197888865565116</v>
      </c>
      <c r="AU41" s="1">
        <v>1272570</v>
      </c>
      <c r="AV41" s="1">
        <v>447751</v>
      </c>
      <c r="AW41" s="18">
        <v>0.35184783548252746</v>
      </c>
      <c r="AX41" s="1">
        <v>1173790</v>
      </c>
      <c r="AY41" s="1">
        <v>427802</v>
      </c>
      <c r="AZ41" s="18">
        <v>0.36446212695626984</v>
      </c>
    </row>
    <row r="42" spans="1:52" ht="18.5" thickBot="1" x14ac:dyDescent="0.6"/>
    <row r="43" spans="1:52" ht="18.5" thickBot="1" x14ac:dyDescent="0.6">
      <c r="B43" s="28" t="s">
        <v>20</v>
      </c>
      <c r="E43" s="29">
        <v>9696210</v>
      </c>
      <c r="F43" s="29">
        <v>4075477</v>
      </c>
      <c r="G43" s="30">
        <v>0.42</v>
      </c>
    </row>
    <row r="44" spans="1:52" x14ac:dyDescent="0.55000000000000004">
      <c r="Q44" s="1">
        <v>1701830</v>
      </c>
      <c r="R44" s="1">
        <v>579030</v>
      </c>
      <c r="S44" s="2">
        <v>0.34023962440431771</v>
      </c>
      <c r="T44" s="1">
        <v>569160</v>
      </c>
      <c r="U44" s="1">
        <v>304932</v>
      </c>
      <c r="V44" s="2">
        <v>0.53575795909761759</v>
      </c>
      <c r="W44" s="1">
        <v>628790</v>
      </c>
      <c r="X44" s="1">
        <v>278425</v>
      </c>
      <c r="Y44" s="2">
        <v>0.44279489177626868</v>
      </c>
      <c r="Z44" s="1">
        <v>1296980</v>
      </c>
      <c r="AA44" s="1">
        <v>579213</v>
      </c>
      <c r="AB44" s="2">
        <v>0.44658591497170347</v>
      </c>
      <c r="AC44" s="1">
        <v>655180</v>
      </c>
      <c r="AD44" s="1">
        <v>273587</v>
      </c>
      <c r="AE44" s="2">
        <v>0.41757532281205167</v>
      </c>
      <c r="AF44" s="1">
        <v>891870</v>
      </c>
      <c r="AG44" s="1">
        <v>363556</v>
      </c>
      <c r="AH44" s="18">
        <v>0.40763339948647226</v>
      </c>
      <c r="AI44" s="1">
        <v>633150</v>
      </c>
      <c r="AJ44" s="1">
        <v>339470</v>
      </c>
      <c r="AK44" s="18">
        <v>0.53616046750375113</v>
      </c>
      <c r="AL44" s="1">
        <v>696260</v>
      </c>
      <c r="AM44" s="1">
        <v>242126</v>
      </c>
      <c r="AN44" s="18">
        <v>0.34775227644845319</v>
      </c>
      <c r="AO44" s="1">
        <v>790560</v>
      </c>
      <c r="AP44" s="1">
        <v>288542</v>
      </c>
      <c r="AQ44" s="18">
        <v>0.36498431491600891</v>
      </c>
      <c r="AR44" s="1">
        <v>456990</v>
      </c>
      <c r="AS44" s="1">
        <v>260120</v>
      </c>
      <c r="AT44" s="18">
        <v>0.56920282719534343</v>
      </c>
      <c r="AU44" s="1">
        <v>899540</v>
      </c>
      <c r="AV44" s="1">
        <v>391287</v>
      </c>
      <c r="AW44" s="18">
        <v>0.43498565933699446</v>
      </c>
      <c r="AX44" s="1">
        <v>475900</v>
      </c>
      <c r="AY44" s="1">
        <v>175189</v>
      </c>
      <c r="AZ44" s="18">
        <v>0.36812145408699304</v>
      </c>
    </row>
    <row r="45" spans="1:52" ht="18.5" thickBot="1" x14ac:dyDescent="0.6"/>
    <row r="46" spans="1:52" ht="18.5" thickBot="1" x14ac:dyDescent="0.6">
      <c r="B46" s="28" t="s">
        <v>21</v>
      </c>
      <c r="E46" s="29">
        <f>SUM(Q47+T47+W47+Z47+AC47+AF47+AI47+AL47+AO47+AR47+AU47+AX47)</f>
        <v>8536470</v>
      </c>
      <c r="F46" s="29">
        <f>SUM(R47+U47+X47+AA47+AD47+AG47+AJ47+AM47+AP47+AS47+AV47+AY47)</f>
        <v>3717303</v>
      </c>
      <c r="G46" s="30">
        <f>SUM(F46/E46)</f>
        <v>0.43546137923521083</v>
      </c>
    </row>
    <row r="47" spans="1:52" x14ac:dyDescent="0.55000000000000004">
      <c r="F47" t="s">
        <v>40</v>
      </c>
      <c r="G47">
        <f>SUM(S48+V48+Y48+AB48+AE48+AH48+AK48+AN48+AQ48+AT48+AW48+AZ48)</f>
        <v>260</v>
      </c>
      <c r="Q47" s="1">
        <v>1271930</v>
      </c>
      <c r="R47" s="1">
        <v>693173</v>
      </c>
      <c r="S47" s="2">
        <f>R47/Q47</f>
        <v>0.54497731793416304</v>
      </c>
      <c r="T47" s="1">
        <v>947390</v>
      </c>
      <c r="U47" s="1">
        <v>371221</v>
      </c>
      <c r="V47" s="2">
        <f>U47/T47</f>
        <v>0.39183546374777017</v>
      </c>
      <c r="W47" s="1">
        <v>944590</v>
      </c>
      <c r="X47" s="1">
        <v>366570</v>
      </c>
      <c r="Y47" s="2">
        <f>X47/W47</f>
        <v>0.38807313225844015</v>
      </c>
      <c r="Z47" s="1">
        <v>745020</v>
      </c>
      <c r="AA47" s="1">
        <v>293851</v>
      </c>
      <c r="AB47" s="2">
        <f>AA47/Z47</f>
        <v>0.39442028401922097</v>
      </c>
      <c r="AC47" s="1">
        <v>886690</v>
      </c>
      <c r="AD47" s="1">
        <v>380434</v>
      </c>
      <c r="AE47" s="2">
        <f>AD47/AC47</f>
        <v>0.4290496114763897</v>
      </c>
      <c r="AF47" s="1">
        <v>793840</v>
      </c>
      <c r="AG47" s="1">
        <v>313154</v>
      </c>
      <c r="AH47" s="2">
        <f>AG47/AF47</f>
        <v>0.39447999596896099</v>
      </c>
      <c r="AI47" s="31">
        <v>924990</v>
      </c>
      <c r="AJ47" s="31">
        <v>402386</v>
      </c>
      <c r="AK47" s="2">
        <f>AJ47/AI47</f>
        <v>0.43501659477399757</v>
      </c>
      <c r="AL47" s="32">
        <v>978100</v>
      </c>
      <c r="AM47" s="32">
        <v>438082</v>
      </c>
      <c r="AN47" s="2">
        <f>AM47/AL47</f>
        <v>0.44789080871076575</v>
      </c>
      <c r="AO47" s="1">
        <v>1043920</v>
      </c>
      <c r="AP47" s="1">
        <v>458432</v>
      </c>
      <c r="AQ47" s="2">
        <f>AP47/AO47</f>
        <v>0.43914476205073183</v>
      </c>
      <c r="AR47" s="32"/>
      <c r="AS47" s="32"/>
      <c r="AT47" s="2" t="e">
        <f>AS47/AR47</f>
        <v>#DIV/0!</v>
      </c>
      <c r="AU47" s="32"/>
      <c r="AV47" s="32"/>
      <c r="AW47" s="2" t="e">
        <f>AV47/AU47</f>
        <v>#DIV/0!</v>
      </c>
      <c r="AX47" s="32"/>
      <c r="AY47" s="32"/>
      <c r="AZ47" s="2" t="e">
        <f>AY47/AX47</f>
        <v>#DIV/0!</v>
      </c>
    </row>
    <row r="48" spans="1:52" x14ac:dyDescent="0.55000000000000004">
      <c r="Q48" s="33"/>
      <c r="R48" s="33"/>
      <c r="S48" s="33">
        <v>34</v>
      </c>
      <c r="T48" s="33"/>
      <c r="U48" s="33"/>
      <c r="V48" s="33">
        <v>27</v>
      </c>
      <c r="W48" s="33"/>
      <c r="X48" s="33"/>
      <c r="Y48" s="33">
        <v>23</v>
      </c>
      <c r="Z48" s="33"/>
      <c r="AA48" s="33"/>
      <c r="AB48" s="33">
        <v>23</v>
      </c>
      <c r="AC48" s="33"/>
      <c r="AD48" s="33"/>
      <c r="AE48" s="33">
        <v>44</v>
      </c>
      <c r="AF48" s="33"/>
      <c r="AG48" s="33"/>
      <c r="AH48" s="33">
        <v>23</v>
      </c>
      <c r="AI48" s="33"/>
      <c r="AJ48" s="33"/>
      <c r="AK48" s="33">
        <v>23</v>
      </c>
      <c r="AN48">
        <v>39</v>
      </c>
      <c r="AQ48">
        <v>24</v>
      </c>
    </row>
    <row r="49" spans="1:52" ht="18.5" thickBot="1" x14ac:dyDescent="0.6"/>
    <row r="50" spans="1:52" ht="18.5" thickBot="1" x14ac:dyDescent="0.6">
      <c r="A50" s="57" t="s">
        <v>24</v>
      </c>
      <c r="B50" s="58"/>
    </row>
    <row r="51" spans="1:52" ht="18.5" thickBot="1" x14ac:dyDescent="0.6">
      <c r="A51" s="59"/>
      <c r="B51" s="60"/>
      <c r="E51" s="22" t="s">
        <v>1</v>
      </c>
      <c r="F51" s="23" t="s">
        <v>2</v>
      </c>
      <c r="G51" s="24" t="s">
        <v>3</v>
      </c>
      <c r="Q51" s="3" t="s">
        <v>4</v>
      </c>
      <c r="R51" s="4"/>
      <c r="S51" s="5"/>
      <c r="T51" s="3" t="s">
        <v>5</v>
      </c>
      <c r="U51" s="4"/>
      <c r="V51" s="5"/>
      <c r="W51" s="6" t="s">
        <v>6</v>
      </c>
      <c r="X51" s="7"/>
      <c r="Y51" s="5"/>
      <c r="Z51" s="3" t="s">
        <v>7</v>
      </c>
      <c r="AA51" s="4"/>
      <c r="AB51" s="5"/>
      <c r="AC51" s="6" t="s">
        <v>8</v>
      </c>
      <c r="AD51" s="7"/>
      <c r="AE51" s="5"/>
      <c r="AF51" s="3" t="s">
        <v>9</v>
      </c>
      <c r="AG51" s="4"/>
      <c r="AH51" s="5"/>
      <c r="AI51" s="3" t="s">
        <v>10</v>
      </c>
      <c r="AJ51" s="4"/>
      <c r="AK51" s="5"/>
      <c r="AL51" s="3" t="s">
        <v>11</v>
      </c>
      <c r="AM51" s="4"/>
      <c r="AN51" s="5"/>
      <c r="AO51" s="3" t="s">
        <v>12</v>
      </c>
      <c r="AP51" s="4"/>
      <c r="AQ51" s="5"/>
      <c r="AR51" s="3" t="s">
        <v>13</v>
      </c>
      <c r="AS51" s="4"/>
      <c r="AT51" s="5"/>
      <c r="AU51" s="3" t="s">
        <v>14</v>
      </c>
      <c r="AV51" s="4"/>
      <c r="AW51" s="5"/>
      <c r="AX51" s="3" t="s">
        <v>15</v>
      </c>
      <c r="AY51" s="4"/>
      <c r="AZ51" s="5"/>
    </row>
    <row r="52" spans="1:52" ht="18.5" thickBot="1" x14ac:dyDescent="0.6">
      <c r="E52" s="19"/>
      <c r="F52" s="20"/>
      <c r="G52" s="21"/>
      <c r="Q52" s="8" t="s">
        <v>16</v>
      </c>
      <c r="R52" s="8" t="s">
        <v>17</v>
      </c>
      <c r="S52" s="9" t="s">
        <v>3</v>
      </c>
      <c r="T52" s="8" t="s">
        <v>16</v>
      </c>
      <c r="U52" s="8" t="s">
        <v>17</v>
      </c>
      <c r="V52" s="9" t="s">
        <v>3</v>
      </c>
      <c r="W52" s="10" t="s">
        <v>16</v>
      </c>
      <c r="X52" s="10" t="s">
        <v>17</v>
      </c>
      <c r="Y52" s="9" t="s">
        <v>3</v>
      </c>
      <c r="Z52" s="11" t="s">
        <v>16</v>
      </c>
      <c r="AA52" s="11" t="s">
        <v>17</v>
      </c>
      <c r="AB52" s="9" t="s">
        <v>3</v>
      </c>
      <c r="AC52" s="10" t="s">
        <v>16</v>
      </c>
      <c r="AD52" s="10" t="s">
        <v>17</v>
      </c>
      <c r="AE52" s="9" t="s">
        <v>3</v>
      </c>
      <c r="AF52" s="8" t="s">
        <v>16</v>
      </c>
      <c r="AG52" s="8" t="s">
        <v>17</v>
      </c>
      <c r="AH52" s="9" t="s">
        <v>3</v>
      </c>
      <c r="AI52" s="8" t="s">
        <v>16</v>
      </c>
      <c r="AJ52" s="8" t="s">
        <v>17</v>
      </c>
      <c r="AK52" s="9" t="s">
        <v>3</v>
      </c>
      <c r="AL52" s="8" t="s">
        <v>16</v>
      </c>
      <c r="AM52" s="8" t="s">
        <v>17</v>
      </c>
      <c r="AN52" s="9" t="s">
        <v>3</v>
      </c>
      <c r="AO52" s="8" t="s">
        <v>16</v>
      </c>
      <c r="AP52" s="8" t="s">
        <v>17</v>
      </c>
      <c r="AQ52" s="9" t="s">
        <v>3</v>
      </c>
      <c r="AR52" s="8" t="s">
        <v>16</v>
      </c>
      <c r="AS52" s="8" t="s">
        <v>17</v>
      </c>
      <c r="AT52" s="9" t="s">
        <v>3</v>
      </c>
      <c r="AU52" s="8" t="s">
        <v>16</v>
      </c>
      <c r="AV52" s="8" t="s">
        <v>17</v>
      </c>
      <c r="AW52" s="9" t="s">
        <v>3</v>
      </c>
      <c r="AX52" s="8" t="s">
        <v>16</v>
      </c>
      <c r="AY52" s="8" t="s">
        <v>17</v>
      </c>
      <c r="AZ52" s="9" t="s">
        <v>3</v>
      </c>
    </row>
    <row r="53" spans="1:52" ht="18.5" thickBot="1" x14ac:dyDescent="0.6">
      <c r="B53" s="28" t="s">
        <v>18</v>
      </c>
      <c r="E53" s="25">
        <v>18641460</v>
      </c>
      <c r="F53" s="26">
        <v>8166738</v>
      </c>
      <c r="G53" s="27">
        <f>F53/E53</f>
        <v>0.43809540669024849</v>
      </c>
      <c r="Q53" s="12"/>
      <c r="R53" s="13"/>
      <c r="S53" s="14"/>
      <c r="T53" s="12"/>
      <c r="U53" s="13"/>
      <c r="V53" s="14"/>
      <c r="W53" s="12"/>
      <c r="X53" s="13"/>
      <c r="Y53" s="14"/>
      <c r="Z53" s="12"/>
      <c r="AA53" s="13"/>
      <c r="AB53" s="14"/>
      <c r="AC53" s="12"/>
      <c r="AD53" s="13"/>
      <c r="AE53" s="14"/>
      <c r="AF53" s="12"/>
      <c r="AG53" s="13"/>
      <c r="AH53" s="14"/>
      <c r="AI53" s="12"/>
      <c r="AJ53" s="13"/>
      <c r="AK53" s="14"/>
      <c r="AL53" s="12"/>
      <c r="AM53" s="13"/>
      <c r="AN53" s="14"/>
      <c r="AO53" s="12"/>
      <c r="AP53" s="13"/>
      <c r="AQ53" s="14"/>
      <c r="AR53" s="12"/>
      <c r="AS53" s="13"/>
      <c r="AT53" s="14"/>
      <c r="AU53" s="12"/>
      <c r="AV53" s="13"/>
      <c r="AW53" s="14"/>
      <c r="AX53" s="12"/>
      <c r="AY53" s="13"/>
      <c r="AZ53" s="14"/>
    </row>
    <row r="54" spans="1:52" x14ac:dyDescent="0.55000000000000004">
      <c r="Q54" s="1">
        <v>1661200</v>
      </c>
      <c r="R54" s="1">
        <v>740946</v>
      </c>
      <c r="S54" s="2">
        <v>0.44603058030339515</v>
      </c>
      <c r="T54" s="15">
        <v>1751480</v>
      </c>
      <c r="U54" s="15">
        <v>810865</v>
      </c>
      <c r="V54" s="2">
        <v>0.4629598967730148</v>
      </c>
      <c r="W54" s="16">
        <v>758660</v>
      </c>
      <c r="X54" s="16">
        <v>368023</v>
      </c>
      <c r="Y54" s="2">
        <v>0.48509609047531171</v>
      </c>
      <c r="Z54" s="16">
        <v>576570</v>
      </c>
      <c r="AA54" s="16">
        <v>219405</v>
      </c>
      <c r="AB54" s="2">
        <v>0.38053488735105884</v>
      </c>
      <c r="AC54" s="16">
        <v>399950</v>
      </c>
      <c r="AD54" s="16">
        <v>160425</v>
      </c>
      <c r="AE54" s="2">
        <v>0.40111263907988498</v>
      </c>
      <c r="AF54" s="17">
        <v>2953170</v>
      </c>
      <c r="AG54" s="17">
        <v>1914873</v>
      </c>
      <c r="AH54" s="18">
        <v>0.64841272259978255</v>
      </c>
      <c r="AI54" s="15">
        <v>1555200</v>
      </c>
      <c r="AJ54" s="15">
        <v>890510</v>
      </c>
      <c r="AK54" s="18">
        <v>0.57260159465020577</v>
      </c>
      <c r="AL54" s="15">
        <v>3473730</v>
      </c>
      <c r="AM54" s="15">
        <v>1092174</v>
      </c>
      <c r="AN54" s="18">
        <v>0.31440958278277242</v>
      </c>
      <c r="AO54" s="15">
        <v>1257540</v>
      </c>
      <c r="AP54" s="15">
        <v>470542</v>
      </c>
      <c r="AQ54" s="18">
        <v>0.37417656694816864</v>
      </c>
      <c r="AR54" s="15">
        <v>555220</v>
      </c>
      <c r="AS54" s="15">
        <v>293365</v>
      </c>
      <c r="AT54" s="18">
        <v>0.52837613918806958</v>
      </c>
      <c r="AU54" s="1">
        <v>2821640</v>
      </c>
      <c r="AV54" s="1">
        <v>824396</v>
      </c>
      <c r="AW54" s="18">
        <v>0.29216909315150053</v>
      </c>
      <c r="AX54" s="15">
        <v>877100</v>
      </c>
      <c r="AY54" s="15">
        <v>381214</v>
      </c>
      <c r="AZ54" s="18">
        <v>0.43463003078326301</v>
      </c>
    </row>
    <row r="55" spans="1:52" ht="18.5" thickBot="1" x14ac:dyDescent="0.6"/>
    <row r="56" spans="1:52" ht="18.5" thickBot="1" x14ac:dyDescent="0.6">
      <c r="B56" s="28" t="s">
        <v>19</v>
      </c>
      <c r="E56" s="29">
        <v>18091720</v>
      </c>
      <c r="F56" s="29">
        <v>7406493</v>
      </c>
      <c r="G56" s="30">
        <v>0.40899999999999997</v>
      </c>
    </row>
    <row r="57" spans="1:52" x14ac:dyDescent="0.55000000000000004">
      <c r="Q57" s="1">
        <v>1328650</v>
      </c>
      <c r="R57" s="1">
        <v>551659</v>
      </c>
      <c r="S57" s="2">
        <v>0.41520264930568623</v>
      </c>
      <c r="T57" s="1">
        <v>831460</v>
      </c>
      <c r="U57" s="1">
        <v>265577</v>
      </c>
      <c r="V57" s="2">
        <v>0.31941043465710917</v>
      </c>
      <c r="W57" s="1">
        <v>2089460</v>
      </c>
      <c r="X57" s="1">
        <v>593387</v>
      </c>
      <c r="Y57" s="2">
        <v>0.28399060044221952</v>
      </c>
      <c r="Z57" s="1">
        <v>526440</v>
      </c>
      <c r="AA57" s="1">
        <v>260172</v>
      </c>
      <c r="AB57" s="2">
        <v>0.4942101664007294</v>
      </c>
      <c r="AC57" s="1">
        <v>1060700</v>
      </c>
      <c r="AD57" s="1">
        <v>427740</v>
      </c>
      <c r="AE57" s="2">
        <v>0.40326199679456964</v>
      </c>
      <c r="AF57" s="1">
        <v>3534200</v>
      </c>
      <c r="AG57" s="1">
        <v>1775888</v>
      </c>
      <c r="AH57" s="18">
        <v>0.50248655990040181</v>
      </c>
      <c r="AI57" s="1">
        <v>912400</v>
      </c>
      <c r="AJ57" s="1">
        <v>501446</v>
      </c>
      <c r="AK57" s="18">
        <v>0.54959009206488385</v>
      </c>
      <c r="AL57" s="1">
        <v>682670</v>
      </c>
      <c r="AM57" s="1">
        <v>348470</v>
      </c>
      <c r="AN57" s="18">
        <v>0.51045160912300236</v>
      </c>
      <c r="AO57" s="1">
        <v>1218620</v>
      </c>
      <c r="AP57" s="1">
        <v>560924</v>
      </c>
      <c r="AQ57" s="18">
        <v>0.46029443140601667</v>
      </c>
      <c r="AR57" s="1">
        <v>2469100</v>
      </c>
      <c r="AS57" s="1">
        <v>905394</v>
      </c>
      <c r="AT57" s="18">
        <v>0.36668988700336153</v>
      </c>
      <c r="AU57" s="1">
        <v>1197820</v>
      </c>
      <c r="AV57" s="1">
        <v>483007</v>
      </c>
      <c r="AW57" s="18">
        <v>0.40323838306256365</v>
      </c>
      <c r="AX57" s="1">
        <v>2240200</v>
      </c>
      <c r="AY57" s="1">
        <v>732829</v>
      </c>
      <c r="AZ57" s="18">
        <v>0.3271265958396572</v>
      </c>
    </row>
    <row r="58" spans="1:52" ht="18.5" thickBot="1" x14ac:dyDescent="0.6"/>
    <row r="59" spans="1:52" ht="18.5" thickBot="1" x14ac:dyDescent="0.6">
      <c r="B59" s="28" t="s">
        <v>20</v>
      </c>
      <c r="E59" s="29">
        <v>18503280</v>
      </c>
      <c r="F59" s="29">
        <v>8929175</v>
      </c>
      <c r="G59" s="30">
        <v>0.48299999999999998</v>
      </c>
    </row>
    <row r="60" spans="1:52" x14ac:dyDescent="0.55000000000000004">
      <c r="Q60" s="1">
        <v>1210350</v>
      </c>
      <c r="R60" s="1">
        <v>440200</v>
      </c>
      <c r="S60" s="2">
        <v>0.36369645143966622</v>
      </c>
      <c r="T60" s="1">
        <v>2144080</v>
      </c>
      <c r="U60" s="1">
        <v>755980</v>
      </c>
      <c r="V60" s="2">
        <v>0.35258945561732769</v>
      </c>
      <c r="W60" s="1">
        <v>1472340</v>
      </c>
      <c r="X60" s="1">
        <v>569719</v>
      </c>
      <c r="Y60" s="2">
        <v>0.38694798755722182</v>
      </c>
      <c r="Z60" s="1">
        <v>674170</v>
      </c>
      <c r="AA60" s="1">
        <v>324418</v>
      </c>
      <c r="AB60" s="2">
        <v>0.48121097052672174</v>
      </c>
      <c r="AC60" s="1">
        <v>591010</v>
      </c>
      <c r="AD60" s="1">
        <v>229785</v>
      </c>
      <c r="AE60" s="2">
        <v>0.38880052790984926</v>
      </c>
      <c r="AF60" s="1">
        <v>3635370</v>
      </c>
      <c r="AG60" s="1">
        <v>2825080</v>
      </c>
      <c r="AH60" s="18">
        <v>0.77710934512855634</v>
      </c>
      <c r="AI60" s="1">
        <v>1760580</v>
      </c>
      <c r="AJ60" s="1">
        <v>810572</v>
      </c>
      <c r="AK60" s="18">
        <v>0.46040054981880973</v>
      </c>
      <c r="AL60" s="1">
        <v>1692030</v>
      </c>
      <c r="AM60" s="1">
        <v>740055</v>
      </c>
      <c r="AN60" s="18">
        <v>0.43737699686175779</v>
      </c>
      <c r="AO60" s="1">
        <v>631180</v>
      </c>
      <c r="AP60" s="1">
        <v>310130</v>
      </c>
      <c r="AQ60" s="18">
        <v>0.49134953579010743</v>
      </c>
      <c r="AR60" s="1">
        <v>1931900</v>
      </c>
      <c r="AS60" s="1">
        <v>724011</v>
      </c>
      <c r="AT60" s="18">
        <v>0.37476629225115171</v>
      </c>
      <c r="AU60" s="1">
        <v>1748470</v>
      </c>
      <c r="AV60" s="1">
        <v>768164</v>
      </c>
      <c r="AW60" s="18">
        <v>0.43933496142341588</v>
      </c>
      <c r="AX60" s="1">
        <v>1011800</v>
      </c>
      <c r="AY60" s="1">
        <v>431061</v>
      </c>
      <c r="AZ60" s="18">
        <v>0.42603380114647166</v>
      </c>
    </row>
    <row r="61" spans="1:52" ht="18.5" thickBot="1" x14ac:dyDescent="0.6"/>
    <row r="62" spans="1:52" ht="18.5" thickBot="1" x14ac:dyDescent="0.6">
      <c r="B62" s="28" t="s">
        <v>21</v>
      </c>
      <c r="E62" s="29">
        <f>SUM(Q63+T63+W63+Z63+AC63+AF63+AI63+AL63+AO63+AR63+AU63+AX63)</f>
        <v>15117020</v>
      </c>
      <c r="F62" s="29">
        <f>SUM(R63+U63+X63+AA63+AD63+AG63+AJ63+AM63+AP63+AS63+AV63+AY63)</f>
        <v>6983383</v>
      </c>
      <c r="G62" s="30">
        <f>SUM(F62/E62)</f>
        <v>0.46195500171330062</v>
      </c>
    </row>
    <row r="63" spans="1:52" x14ac:dyDescent="0.55000000000000004">
      <c r="F63" t="s">
        <v>40</v>
      </c>
      <c r="G63">
        <f>SUM(S64+V64+Y64+AB64+AE64+AH64+AK64+AN64+AQ64+AT64+AW64+AZ64)</f>
        <v>236</v>
      </c>
      <c r="Q63" s="1">
        <v>1279150</v>
      </c>
      <c r="R63" s="1">
        <v>490045</v>
      </c>
      <c r="S63" s="2">
        <f>R63/Q63</f>
        <v>0.38310205996169333</v>
      </c>
      <c r="T63" s="1">
        <v>2422960</v>
      </c>
      <c r="U63" s="1">
        <v>1065543</v>
      </c>
      <c r="V63" s="2">
        <f>U63/T63</f>
        <v>0.43976912536731932</v>
      </c>
      <c r="W63" s="1">
        <v>2003330</v>
      </c>
      <c r="X63" s="1">
        <v>737256</v>
      </c>
      <c r="Y63" s="2">
        <f>X63/W63</f>
        <v>0.36801525460108919</v>
      </c>
      <c r="Z63" s="1">
        <v>1779710</v>
      </c>
      <c r="AA63" s="1">
        <v>714462</v>
      </c>
      <c r="AB63" s="2">
        <f>AA63/Z63</f>
        <v>0.40144855060655948</v>
      </c>
      <c r="AC63" s="1">
        <v>615190</v>
      </c>
      <c r="AD63" s="1">
        <v>238069</v>
      </c>
      <c r="AE63" s="2">
        <f>AD63/AC63</f>
        <v>0.38698450885092411</v>
      </c>
      <c r="AF63" s="1">
        <v>3229040</v>
      </c>
      <c r="AG63" s="1">
        <v>1884695</v>
      </c>
      <c r="AH63" s="2">
        <f>AG63/AF63</f>
        <v>0.58367037881227857</v>
      </c>
      <c r="AI63" s="31">
        <v>1333350</v>
      </c>
      <c r="AJ63" s="31">
        <v>729238</v>
      </c>
      <c r="AK63" s="2">
        <f>AJ63/AI63</f>
        <v>0.54692166347920645</v>
      </c>
      <c r="AL63" s="32">
        <v>731200</v>
      </c>
      <c r="AM63" s="32">
        <v>339050</v>
      </c>
      <c r="AN63" s="2">
        <f>AM63/AL63</f>
        <v>0.46368982494529543</v>
      </c>
      <c r="AO63" s="1">
        <v>1723090</v>
      </c>
      <c r="AP63" s="1">
        <v>785025</v>
      </c>
      <c r="AQ63" s="2">
        <f>AP63/AO63</f>
        <v>0.45559140845806079</v>
      </c>
      <c r="AR63" s="32"/>
      <c r="AS63" s="32"/>
      <c r="AT63" s="2" t="e">
        <f>AS63/AR63</f>
        <v>#DIV/0!</v>
      </c>
      <c r="AU63" s="32"/>
      <c r="AV63" s="32"/>
      <c r="AW63" s="2" t="e">
        <f>AV63/AU63</f>
        <v>#DIV/0!</v>
      </c>
      <c r="AX63" s="32"/>
      <c r="AY63" s="32"/>
      <c r="AZ63" s="2" t="e">
        <f>AY63/AX63</f>
        <v>#DIV/0!</v>
      </c>
    </row>
    <row r="64" spans="1:52" x14ac:dyDescent="0.55000000000000004">
      <c r="Q64" s="33"/>
      <c r="R64" s="33"/>
      <c r="S64" s="33">
        <v>25</v>
      </c>
      <c r="T64" s="33"/>
      <c r="U64" s="33"/>
      <c r="V64" s="33">
        <v>19</v>
      </c>
      <c r="W64" s="33"/>
      <c r="X64" s="33"/>
      <c r="Y64" s="33">
        <v>25</v>
      </c>
      <c r="Z64" s="33"/>
      <c r="AA64" s="33"/>
      <c r="AB64" s="33">
        <v>28</v>
      </c>
      <c r="AC64" s="33"/>
      <c r="AD64" s="33"/>
      <c r="AE64" s="33">
        <v>39</v>
      </c>
      <c r="AF64" s="33"/>
      <c r="AG64" s="33"/>
      <c r="AH64" s="33">
        <v>23</v>
      </c>
      <c r="AI64" s="33"/>
      <c r="AJ64" s="33"/>
      <c r="AK64" s="33">
        <v>23</v>
      </c>
      <c r="AN64">
        <v>18</v>
      </c>
      <c r="AQ64">
        <v>36</v>
      </c>
    </row>
    <row r="65" spans="1:52" ht="18.5" thickBot="1" x14ac:dyDescent="0.6"/>
    <row r="66" spans="1:52" ht="18.5" thickBot="1" x14ac:dyDescent="0.6">
      <c r="A66" s="57" t="s">
        <v>25</v>
      </c>
      <c r="B66" s="58"/>
    </row>
    <row r="67" spans="1:52" ht="18.5" thickBot="1" x14ac:dyDescent="0.6">
      <c r="A67" s="59"/>
      <c r="B67" s="60"/>
      <c r="E67" s="22" t="s">
        <v>1</v>
      </c>
      <c r="F67" s="23" t="s">
        <v>2</v>
      </c>
      <c r="G67" s="24" t="s">
        <v>3</v>
      </c>
      <c r="Q67" s="3" t="s">
        <v>4</v>
      </c>
      <c r="R67" s="4"/>
      <c r="S67" s="5"/>
      <c r="T67" s="3" t="s">
        <v>5</v>
      </c>
      <c r="U67" s="4"/>
      <c r="V67" s="5"/>
      <c r="W67" s="6" t="s">
        <v>6</v>
      </c>
      <c r="X67" s="7"/>
      <c r="Y67" s="5"/>
      <c r="Z67" s="3" t="s">
        <v>7</v>
      </c>
      <c r="AA67" s="4"/>
      <c r="AB67" s="5"/>
      <c r="AC67" s="6" t="s">
        <v>8</v>
      </c>
      <c r="AD67" s="7"/>
      <c r="AE67" s="5"/>
      <c r="AF67" s="3" t="s">
        <v>9</v>
      </c>
      <c r="AG67" s="4"/>
      <c r="AH67" s="5"/>
      <c r="AI67" s="3" t="s">
        <v>10</v>
      </c>
      <c r="AJ67" s="4"/>
      <c r="AK67" s="5"/>
      <c r="AL67" s="3" t="s">
        <v>11</v>
      </c>
      <c r="AM67" s="4"/>
      <c r="AN67" s="5"/>
      <c r="AO67" s="3" t="s">
        <v>12</v>
      </c>
      <c r="AP67" s="4"/>
      <c r="AQ67" s="5"/>
      <c r="AR67" s="3" t="s">
        <v>13</v>
      </c>
      <c r="AS67" s="4"/>
      <c r="AT67" s="5"/>
      <c r="AU67" s="3" t="s">
        <v>14</v>
      </c>
      <c r="AV67" s="4"/>
      <c r="AW67" s="5"/>
      <c r="AX67" s="3" t="s">
        <v>15</v>
      </c>
      <c r="AY67" s="4"/>
      <c r="AZ67" s="5"/>
    </row>
    <row r="68" spans="1:52" ht="18.5" thickBot="1" x14ac:dyDescent="0.6">
      <c r="E68" s="19"/>
      <c r="F68" s="20"/>
      <c r="G68" s="21"/>
      <c r="Q68" s="8" t="s">
        <v>16</v>
      </c>
      <c r="R68" s="8" t="s">
        <v>17</v>
      </c>
      <c r="S68" s="9" t="s">
        <v>3</v>
      </c>
      <c r="T68" s="8" t="s">
        <v>16</v>
      </c>
      <c r="U68" s="8" t="s">
        <v>17</v>
      </c>
      <c r="V68" s="9" t="s">
        <v>3</v>
      </c>
      <c r="W68" s="10" t="s">
        <v>16</v>
      </c>
      <c r="X68" s="10" t="s">
        <v>17</v>
      </c>
      <c r="Y68" s="9" t="s">
        <v>3</v>
      </c>
      <c r="Z68" s="11" t="s">
        <v>16</v>
      </c>
      <c r="AA68" s="11" t="s">
        <v>17</v>
      </c>
      <c r="AB68" s="9" t="s">
        <v>3</v>
      </c>
      <c r="AC68" s="10" t="s">
        <v>16</v>
      </c>
      <c r="AD68" s="10" t="s">
        <v>17</v>
      </c>
      <c r="AE68" s="9" t="s">
        <v>3</v>
      </c>
      <c r="AF68" s="8" t="s">
        <v>16</v>
      </c>
      <c r="AG68" s="8" t="s">
        <v>17</v>
      </c>
      <c r="AH68" s="9" t="s">
        <v>3</v>
      </c>
      <c r="AI68" s="8" t="s">
        <v>16</v>
      </c>
      <c r="AJ68" s="8" t="s">
        <v>17</v>
      </c>
      <c r="AK68" s="9" t="s">
        <v>3</v>
      </c>
      <c r="AL68" s="8" t="s">
        <v>16</v>
      </c>
      <c r="AM68" s="8" t="s">
        <v>17</v>
      </c>
      <c r="AN68" s="9" t="s">
        <v>3</v>
      </c>
      <c r="AO68" s="8" t="s">
        <v>16</v>
      </c>
      <c r="AP68" s="8" t="s">
        <v>17</v>
      </c>
      <c r="AQ68" s="9" t="s">
        <v>3</v>
      </c>
      <c r="AR68" s="8" t="s">
        <v>16</v>
      </c>
      <c r="AS68" s="8" t="s">
        <v>17</v>
      </c>
      <c r="AT68" s="9" t="s">
        <v>3</v>
      </c>
      <c r="AU68" s="8" t="s">
        <v>16</v>
      </c>
      <c r="AV68" s="8" t="s">
        <v>17</v>
      </c>
      <c r="AW68" s="9" t="s">
        <v>3</v>
      </c>
      <c r="AX68" s="8" t="s">
        <v>16</v>
      </c>
      <c r="AY68" s="8" t="s">
        <v>17</v>
      </c>
      <c r="AZ68" s="9" t="s">
        <v>3</v>
      </c>
    </row>
    <row r="69" spans="1:52" ht="18.5" thickBot="1" x14ac:dyDescent="0.6">
      <c r="B69" s="28" t="s">
        <v>18</v>
      </c>
      <c r="E69" s="25">
        <v>8559530</v>
      </c>
      <c r="F69" s="26">
        <v>4076783</v>
      </c>
      <c r="G69" s="27">
        <f>F69/E69</f>
        <v>0.4762858474705971</v>
      </c>
      <c r="Q69" s="12"/>
      <c r="R69" s="13"/>
      <c r="S69" s="14"/>
      <c r="T69" s="12"/>
      <c r="U69" s="13"/>
      <c r="V69" s="14"/>
      <c r="W69" s="12"/>
      <c r="X69" s="13"/>
      <c r="Y69" s="14"/>
      <c r="Z69" s="12"/>
      <c r="AA69" s="13"/>
      <c r="AB69" s="14"/>
      <c r="AC69" s="12"/>
      <c r="AD69" s="13"/>
      <c r="AE69" s="14"/>
      <c r="AF69" s="12"/>
      <c r="AG69" s="13"/>
      <c r="AH69" s="14"/>
      <c r="AI69" s="12"/>
      <c r="AJ69" s="13"/>
      <c r="AK69" s="14"/>
      <c r="AL69" s="12"/>
      <c r="AM69" s="13"/>
      <c r="AN69" s="14"/>
      <c r="AO69" s="12"/>
      <c r="AP69" s="13"/>
      <c r="AQ69" s="14"/>
      <c r="AR69" s="12"/>
      <c r="AS69" s="13"/>
      <c r="AT69" s="14"/>
      <c r="AU69" s="12"/>
      <c r="AV69" s="13"/>
      <c r="AW69" s="14"/>
      <c r="AX69" s="12"/>
      <c r="AY69" s="13"/>
      <c r="AZ69" s="14"/>
    </row>
    <row r="70" spans="1:52" x14ac:dyDescent="0.55000000000000004">
      <c r="Q70" s="1">
        <v>300000</v>
      </c>
      <c r="R70" s="1">
        <v>195954</v>
      </c>
      <c r="S70" s="2">
        <v>0.65317999999999998</v>
      </c>
      <c r="T70" s="15">
        <v>324190</v>
      </c>
      <c r="U70" s="15">
        <v>151709</v>
      </c>
      <c r="V70" s="2">
        <v>0.46796323143835405</v>
      </c>
      <c r="W70" s="16">
        <v>973150</v>
      </c>
      <c r="X70" s="16">
        <v>426695</v>
      </c>
      <c r="Y70" s="2">
        <v>0.43846786209731287</v>
      </c>
      <c r="Z70" s="16">
        <v>923890</v>
      </c>
      <c r="AA70" s="16">
        <v>416930</v>
      </c>
      <c r="AB70" s="2">
        <v>0.45127666713569797</v>
      </c>
      <c r="AC70" s="16">
        <v>55940</v>
      </c>
      <c r="AD70" s="16">
        <v>41970</v>
      </c>
      <c r="AE70" s="2">
        <v>0.75026814444047196</v>
      </c>
      <c r="AF70" s="17">
        <v>130550</v>
      </c>
      <c r="AG70" s="17">
        <v>80050</v>
      </c>
      <c r="AH70" s="18">
        <v>0.61317502872462659</v>
      </c>
      <c r="AI70" s="15">
        <v>215910</v>
      </c>
      <c r="AJ70" s="15">
        <v>111925</v>
      </c>
      <c r="AK70" s="18">
        <v>0.51838729100087999</v>
      </c>
      <c r="AL70" s="15">
        <v>1318510</v>
      </c>
      <c r="AM70" s="15">
        <v>674540</v>
      </c>
      <c r="AN70" s="18">
        <v>0.51159263107598729</v>
      </c>
      <c r="AO70" s="15">
        <v>1422850</v>
      </c>
      <c r="AP70" s="15">
        <v>681235</v>
      </c>
      <c r="AQ70" s="18">
        <v>0.47878202199810238</v>
      </c>
      <c r="AR70" s="15">
        <v>936810</v>
      </c>
      <c r="AS70" s="15">
        <v>416135</v>
      </c>
      <c r="AT70" s="18">
        <v>0.44420426767434162</v>
      </c>
      <c r="AU70" s="1">
        <v>1059850</v>
      </c>
      <c r="AV70" s="1">
        <v>444600</v>
      </c>
      <c r="AW70" s="18">
        <v>0.41949332452705573</v>
      </c>
      <c r="AX70" s="15">
        <v>897880</v>
      </c>
      <c r="AY70" s="15">
        <v>435040</v>
      </c>
      <c r="AZ70" s="18">
        <v>0.48451908941061167</v>
      </c>
    </row>
    <row r="71" spans="1:52" ht="18.5" thickBot="1" x14ac:dyDescent="0.6"/>
    <row r="72" spans="1:52" ht="18.5" thickBot="1" x14ac:dyDescent="0.6">
      <c r="B72" s="28" t="s">
        <v>19</v>
      </c>
      <c r="E72" s="34">
        <v>6219460</v>
      </c>
      <c r="F72" s="35">
        <v>2893630</v>
      </c>
      <c r="G72" s="36">
        <f>F72/E72</f>
        <v>0.46525421821187046</v>
      </c>
    </row>
    <row r="73" spans="1:52" x14ac:dyDescent="0.55000000000000004">
      <c r="Q73" s="1">
        <v>152170</v>
      </c>
      <c r="R73" s="1">
        <v>89590</v>
      </c>
      <c r="S73" s="2">
        <v>0.58874942498521388</v>
      </c>
      <c r="T73" s="1">
        <v>442170</v>
      </c>
      <c r="U73" s="1">
        <v>250112</v>
      </c>
      <c r="V73" s="2">
        <v>0.56564669697175296</v>
      </c>
      <c r="W73" s="1">
        <v>173780</v>
      </c>
      <c r="X73" s="1">
        <v>114690</v>
      </c>
      <c r="Y73" s="2">
        <v>0.6599723788698354</v>
      </c>
      <c r="Z73" s="1">
        <v>366460</v>
      </c>
      <c r="AA73" s="1">
        <v>223550</v>
      </c>
      <c r="AB73" s="2">
        <v>0.61002565082137206</v>
      </c>
      <c r="AC73" s="1">
        <v>354800</v>
      </c>
      <c r="AD73" s="1">
        <v>175880</v>
      </c>
      <c r="AE73" s="2">
        <v>0.49571589627959411</v>
      </c>
      <c r="AF73" s="1">
        <v>694700</v>
      </c>
      <c r="AG73" s="1">
        <v>272651</v>
      </c>
      <c r="AH73" s="18">
        <v>0.39247300993234491</v>
      </c>
      <c r="AI73" s="1">
        <v>1061990</v>
      </c>
      <c r="AJ73" s="1">
        <v>427116</v>
      </c>
      <c r="AK73" s="18">
        <v>0.40218457800920915</v>
      </c>
      <c r="AL73" s="1">
        <v>340560</v>
      </c>
      <c r="AM73" s="1">
        <v>191810</v>
      </c>
      <c r="AN73" s="18">
        <v>0.56321940333568243</v>
      </c>
      <c r="AO73" s="1">
        <v>657220</v>
      </c>
      <c r="AP73" s="1">
        <v>297794</v>
      </c>
      <c r="AQ73" s="18">
        <v>0.45311159124798395</v>
      </c>
      <c r="AR73" s="1">
        <v>362200</v>
      </c>
      <c r="AS73" s="1">
        <v>201700</v>
      </c>
      <c r="AT73" s="18">
        <v>0.55687465488680288</v>
      </c>
      <c r="AU73" s="1">
        <v>961330</v>
      </c>
      <c r="AV73" s="1">
        <v>403945</v>
      </c>
      <c r="AW73" s="18">
        <v>0.42019389803709445</v>
      </c>
      <c r="AX73" s="1">
        <v>652080</v>
      </c>
      <c r="AY73" s="1">
        <v>244792</v>
      </c>
      <c r="AZ73" s="18">
        <v>0.37540179119126488</v>
      </c>
    </row>
    <row r="74" spans="1:52" ht="18.5" thickBot="1" x14ac:dyDescent="0.6"/>
    <row r="75" spans="1:52" ht="18.5" thickBot="1" x14ac:dyDescent="0.6">
      <c r="B75" s="28" t="s">
        <v>20</v>
      </c>
      <c r="E75" s="34">
        <v>5534280</v>
      </c>
      <c r="F75" s="35">
        <v>2727769</v>
      </c>
      <c r="G75" s="36">
        <f>F75/E75</f>
        <v>0.49288597613420354</v>
      </c>
    </row>
    <row r="76" spans="1:52" x14ac:dyDescent="0.55000000000000004">
      <c r="Q76" s="1">
        <v>297910</v>
      </c>
      <c r="R76" s="1">
        <v>161305</v>
      </c>
      <c r="S76" s="2">
        <v>0.54145547312946862</v>
      </c>
      <c r="T76" s="1">
        <v>767320</v>
      </c>
      <c r="U76" s="1">
        <v>298240</v>
      </c>
      <c r="V76" s="2">
        <v>0.38867747484752124</v>
      </c>
      <c r="W76" s="1">
        <v>334760</v>
      </c>
      <c r="X76" s="1">
        <v>171525</v>
      </c>
      <c r="Y76" s="2">
        <v>0.51238200501852071</v>
      </c>
      <c r="Z76" s="1">
        <v>276710</v>
      </c>
      <c r="AA76" s="1">
        <v>162505</v>
      </c>
      <c r="AB76" s="2">
        <v>0.58727548697192011</v>
      </c>
      <c r="AC76" s="1">
        <v>412070</v>
      </c>
      <c r="AD76" s="1">
        <v>242710</v>
      </c>
      <c r="AE76" s="2">
        <v>0.58900186861455583</v>
      </c>
      <c r="AF76" s="1">
        <v>151100</v>
      </c>
      <c r="AG76" s="1">
        <v>92100</v>
      </c>
      <c r="AH76" s="18">
        <v>0.60953011250827271</v>
      </c>
      <c r="AI76" s="1">
        <v>236230</v>
      </c>
      <c r="AJ76" s="1">
        <v>156425</v>
      </c>
      <c r="AK76" s="18">
        <v>0.6621724590441519</v>
      </c>
      <c r="AL76" s="1">
        <v>823470</v>
      </c>
      <c r="AM76" s="1">
        <v>354352</v>
      </c>
      <c r="AN76" s="18">
        <v>0.4303156156265559</v>
      </c>
      <c r="AO76" s="1">
        <v>449230</v>
      </c>
      <c r="AP76" s="1">
        <v>236763</v>
      </c>
      <c r="AQ76" s="18">
        <v>0.52704182712641634</v>
      </c>
      <c r="AR76" s="1">
        <v>369000</v>
      </c>
      <c r="AS76" s="1">
        <v>168210</v>
      </c>
      <c r="AT76" s="18">
        <v>0.45585365853658538</v>
      </c>
      <c r="AU76" s="1">
        <v>645160</v>
      </c>
      <c r="AV76" s="1">
        <v>297940</v>
      </c>
      <c r="AW76" s="18">
        <v>0.46180792361584722</v>
      </c>
      <c r="AX76" s="1">
        <v>771320</v>
      </c>
      <c r="AY76" s="1">
        <v>385694</v>
      </c>
      <c r="AZ76" s="18">
        <v>0.5000440802779651</v>
      </c>
    </row>
    <row r="77" spans="1:52" ht="18.5" thickBot="1" x14ac:dyDescent="0.6"/>
    <row r="78" spans="1:52" ht="18.5" thickBot="1" x14ac:dyDescent="0.6">
      <c r="B78" s="28" t="s">
        <v>21</v>
      </c>
      <c r="E78" s="29">
        <f>SUM(Q79+T79+W79+Z79+AC79+AF79+AI79+AL79+AO79+AR79+AU79+AX79)</f>
        <v>3288880</v>
      </c>
      <c r="F78" s="29">
        <f>SUM(R79+U79+X79+AA79+AD79+AG79+AJ79+AM79+AP79+AS79+AV79+AY79)</f>
        <v>1812565</v>
      </c>
      <c r="G78" s="2">
        <f>F78/E78</f>
        <v>0.55111922599790808</v>
      </c>
    </row>
    <row r="79" spans="1:52" x14ac:dyDescent="0.55000000000000004">
      <c r="F79" t="s">
        <v>40</v>
      </c>
      <c r="G79">
        <f>SUM(S80+V80+Y80+AB80+AE80+AH80+AK80+AN80+AQ80+AT80+AW80+AZ80)</f>
        <v>105</v>
      </c>
      <c r="Q79" s="1">
        <v>564500</v>
      </c>
      <c r="R79" s="1">
        <v>266176</v>
      </c>
      <c r="S79" s="2">
        <f>R79/Q79</f>
        <v>0.47152524357838793</v>
      </c>
      <c r="T79" s="1">
        <v>391900</v>
      </c>
      <c r="U79" s="1">
        <v>222500</v>
      </c>
      <c r="V79" s="2">
        <f>U79/T79</f>
        <v>0.56774687420260272</v>
      </c>
      <c r="W79" s="1">
        <v>284840</v>
      </c>
      <c r="X79" s="1">
        <v>196334</v>
      </c>
      <c r="Y79" s="2">
        <f>X79/W79</f>
        <v>0.68927819126527168</v>
      </c>
      <c r="Z79" s="1">
        <v>469150</v>
      </c>
      <c r="AA79" s="1">
        <v>277381</v>
      </c>
      <c r="AB79" s="2">
        <f>AA79/Z79</f>
        <v>0.59124160716188856</v>
      </c>
      <c r="AC79" s="1">
        <v>426880</v>
      </c>
      <c r="AD79" s="1">
        <v>224452</v>
      </c>
      <c r="AE79" s="2">
        <f>AD79/AC79</f>
        <v>0.52579647676161922</v>
      </c>
      <c r="AF79" s="1">
        <v>149000</v>
      </c>
      <c r="AG79" s="1">
        <v>113940</v>
      </c>
      <c r="AH79" s="2">
        <f>AG79/AF79</f>
        <v>0.76469798657718124</v>
      </c>
      <c r="AI79" s="31">
        <v>352900</v>
      </c>
      <c r="AJ79" s="31">
        <v>224765</v>
      </c>
      <c r="AK79" s="2">
        <f>AJ79/AI79</f>
        <v>0.63690847265514305</v>
      </c>
      <c r="AL79" s="32">
        <v>176210</v>
      </c>
      <c r="AM79" s="32">
        <v>88245</v>
      </c>
      <c r="AN79" s="2">
        <f>AM79/AL79</f>
        <v>0.50079450655467905</v>
      </c>
      <c r="AO79" s="1">
        <v>473500</v>
      </c>
      <c r="AP79" s="1">
        <v>198772</v>
      </c>
      <c r="AQ79" s="2">
        <f>AP79/AO79</f>
        <v>0.41979303062302004</v>
      </c>
      <c r="AR79" s="32"/>
      <c r="AS79" s="32"/>
      <c r="AT79" s="2" t="e">
        <f>AS79/AR79</f>
        <v>#DIV/0!</v>
      </c>
      <c r="AU79" s="32"/>
      <c r="AV79" s="32"/>
      <c r="AW79" s="2" t="e">
        <f>AV79/AU79</f>
        <v>#DIV/0!</v>
      </c>
      <c r="AX79" s="32"/>
      <c r="AY79" s="32"/>
      <c r="AZ79" s="2" t="e">
        <f>AY79/AX79</f>
        <v>#DIV/0!</v>
      </c>
    </row>
    <row r="80" spans="1:52" x14ac:dyDescent="0.55000000000000004">
      <c r="Q80" s="33"/>
      <c r="R80" s="33"/>
      <c r="S80" s="33">
        <v>14</v>
      </c>
      <c r="T80" s="33"/>
      <c r="U80" s="33"/>
      <c r="V80" s="33">
        <v>12</v>
      </c>
      <c r="W80" s="33"/>
      <c r="X80" s="33"/>
      <c r="Y80" s="33">
        <v>8</v>
      </c>
      <c r="Z80" s="33"/>
      <c r="AA80" s="33"/>
      <c r="AB80" s="33">
        <v>10</v>
      </c>
      <c r="AC80" s="33"/>
      <c r="AD80" s="33"/>
      <c r="AE80" s="33">
        <v>14</v>
      </c>
      <c r="AF80" s="33"/>
      <c r="AG80" s="33"/>
      <c r="AH80" s="33">
        <v>14</v>
      </c>
      <c r="AI80" s="33"/>
      <c r="AJ80" s="33"/>
      <c r="AK80" s="33">
        <v>8</v>
      </c>
      <c r="AN80">
        <v>12</v>
      </c>
      <c r="AQ80">
        <v>13</v>
      </c>
    </row>
    <row r="81" spans="1:52" ht="18.5" thickBot="1" x14ac:dyDescent="0.6"/>
    <row r="82" spans="1:52" ht="18.5" thickBot="1" x14ac:dyDescent="0.6">
      <c r="A82" s="57" t="s">
        <v>26</v>
      </c>
      <c r="B82" s="58"/>
    </row>
    <row r="83" spans="1:52" ht="18.5" thickBot="1" x14ac:dyDescent="0.6">
      <c r="A83" s="59"/>
      <c r="B83" s="60"/>
      <c r="E83" s="22" t="s">
        <v>1</v>
      </c>
      <c r="F83" s="23" t="s">
        <v>2</v>
      </c>
      <c r="G83" s="24" t="s">
        <v>3</v>
      </c>
      <c r="Q83" s="3" t="s">
        <v>4</v>
      </c>
      <c r="R83" s="4"/>
      <c r="S83" s="5"/>
      <c r="T83" s="3" t="s">
        <v>5</v>
      </c>
      <c r="U83" s="4"/>
      <c r="V83" s="5"/>
      <c r="W83" s="6" t="s">
        <v>6</v>
      </c>
      <c r="X83" s="7"/>
      <c r="Y83" s="5"/>
      <c r="Z83" s="3" t="s">
        <v>7</v>
      </c>
      <c r="AA83" s="4"/>
      <c r="AB83" s="5"/>
      <c r="AC83" s="6" t="s">
        <v>8</v>
      </c>
      <c r="AD83" s="7"/>
      <c r="AE83" s="5"/>
      <c r="AF83" s="3" t="s">
        <v>9</v>
      </c>
      <c r="AG83" s="4"/>
      <c r="AH83" s="5"/>
      <c r="AI83" s="3" t="s">
        <v>10</v>
      </c>
      <c r="AJ83" s="4"/>
      <c r="AK83" s="5"/>
      <c r="AL83" s="3" t="s">
        <v>11</v>
      </c>
      <c r="AM83" s="4"/>
      <c r="AN83" s="5"/>
      <c r="AO83" s="3" t="s">
        <v>12</v>
      </c>
      <c r="AP83" s="4"/>
      <c r="AQ83" s="5"/>
      <c r="AR83" s="3" t="s">
        <v>13</v>
      </c>
      <c r="AS83" s="4"/>
      <c r="AT83" s="5"/>
      <c r="AU83" s="3" t="s">
        <v>14</v>
      </c>
      <c r="AV83" s="4"/>
      <c r="AW83" s="5"/>
      <c r="AX83" s="3" t="s">
        <v>15</v>
      </c>
      <c r="AY83" s="4"/>
      <c r="AZ83" s="5"/>
    </row>
    <row r="84" spans="1:52" ht="18.5" thickBot="1" x14ac:dyDescent="0.6">
      <c r="E84" s="19"/>
      <c r="F84" s="20"/>
      <c r="G84" s="21"/>
      <c r="Q84" s="8" t="s">
        <v>16</v>
      </c>
      <c r="R84" s="8" t="s">
        <v>17</v>
      </c>
      <c r="S84" s="9" t="s">
        <v>3</v>
      </c>
      <c r="T84" s="8" t="s">
        <v>16</v>
      </c>
      <c r="U84" s="8" t="s">
        <v>17</v>
      </c>
      <c r="V84" s="9" t="s">
        <v>3</v>
      </c>
      <c r="W84" s="10" t="s">
        <v>16</v>
      </c>
      <c r="X84" s="10" t="s">
        <v>17</v>
      </c>
      <c r="Y84" s="9" t="s">
        <v>3</v>
      </c>
      <c r="Z84" s="11" t="s">
        <v>16</v>
      </c>
      <c r="AA84" s="11" t="s">
        <v>17</v>
      </c>
      <c r="AB84" s="9" t="s">
        <v>3</v>
      </c>
      <c r="AC84" s="10" t="s">
        <v>16</v>
      </c>
      <c r="AD84" s="10" t="s">
        <v>17</v>
      </c>
      <c r="AE84" s="9" t="s">
        <v>3</v>
      </c>
      <c r="AF84" s="8" t="s">
        <v>16</v>
      </c>
      <c r="AG84" s="8" t="s">
        <v>17</v>
      </c>
      <c r="AH84" s="9" t="s">
        <v>3</v>
      </c>
      <c r="AI84" s="8" t="s">
        <v>16</v>
      </c>
      <c r="AJ84" s="8" t="s">
        <v>17</v>
      </c>
      <c r="AK84" s="9" t="s">
        <v>3</v>
      </c>
      <c r="AL84" s="8" t="s">
        <v>16</v>
      </c>
      <c r="AM84" s="8" t="s">
        <v>17</v>
      </c>
      <c r="AN84" s="9" t="s">
        <v>3</v>
      </c>
      <c r="AO84" s="8" t="s">
        <v>16</v>
      </c>
      <c r="AP84" s="8" t="s">
        <v>17</v>
      </c>
      <c r="AQ84" s="9" t="s">
        <v>3</v>
      </c>
      <c r="AR84" s="8" t="s">
        <v>16</v>
      </c>
      <c r="AS84" s="8" t="s">
        <v>17</v>
      </c>
      <c r="AT84" s="9" t="s">
        <v>3</v>
      </c>
      <c r="AU84" s="8" t="s">
        <v>16</v>
      </c>
      <c r="AV84" s="8" t="s">
        <v>17</v>
      </c>
      <c r="AW84" s="9" t="s">
        <v>3</v>
      </c>
      <c r="AX84" s="8" t="s">
        <v>16</v>
      </c>
      <c r="AY84" s="8" t="s">
        <v>17</v>
      </c>
      <c r="AZ84" s="9" t="s">
        <v>3</v>
      </c>
    </row>
    <row r="85" spans="1:52" ht="18.5" thickBot="1" x14ac:dyDescent="0.6">
      <c r="B85" s="28" t="s">
        <v>18</v>
      </c>
      <c r="E85" s="25">
        <v>3411515</v>
      </c>
      <c r="F85" s="26">
        <v>1225914</v>
      </c>
      <c r="G85" s="27">
        <f>F85/E85</f>
        <v>0.35934592109370761</v>
      </c>
      <c r="Q85" s="12"/>
      <c r="R85" s="13"/>
      <c r="S85" s="14"/>
      <c r="T85" s="12"/>
      <c r="U85" s="13"/>
      <c r="V85" s="14"/>
      <c r="W85" s="12"/>
      <c r="X85" s="13"/>
      <c r="Y85" s="14"/>
      <c r="Z85" s="12"/>
      <c r="AA85" s="13"/>
      <c r="AB85" s="14"/>
      <c r="AC85" s="12"/>
      <c r="AD85" s="13"/>
      <c r="AE85" s="14"/>
      <c r="AF85" s="12"/>
      <c r="AG85" s="13"/>
      <c r="AH85" s="14"/>
      <c r="AI85" s="12"/>
      <c r="AJ85" s="13"/>
      <c r="AK85" s="14"/>
      <c r="AL85" s="12"/>
      <c r="AM85" s="13"/>
      <c r="AN85" s="14"/>
      <c r="AO85" s="12"/>
      <c r="AP85" s="13"/>
      <c r="AQ85" s="14"/>
      <c r="AR85" s="12"/>
      <c r="AS85" s="13"/>
      <c r="AT85" s="14"/>
      <c r="AU85" s="12"/>
      <c r="AV85" s="13"/>
      <c r="AW85" s="14"/>
      <c r="AX85" s="12"/>
      <c r="AY85" s="13"/>
      <c r="AZ85" s="14"/>
    </row>
    <row r="86" spans="1:52" x14ac:dyDescent="0.55000000000000004">
      <c r="Q86" s="1">
        <v>313000</v>
      </c>
      <c r="R86" s="1">
        <v>142700</v>
      </c>
      <c r="S86" s="2">
        <v>0.45591054313099044</v>
      </c>
      <c r="T86" s="15">
        <v>628025</v>
      </c>
      <c r="U86" s="15">
        <v>231072</v>
      </c>
      <c r="V86" s="2">
        <v>0.36793439751602247</v>
      </c>
      <c r="W86" s="16">
        <v>133360</v>
      </c>
      <c r="X86" s="16">
        <v>48745</v>
      </c>
      <c r="Y86" s="2">
        <v>0.36551439712057587</v>
      </c>
      <c r="Z86" s="16">
        <v>85050</v>
      </c>
      <c r="AA86" s="16">
        <v>27050</v>
      </c>
      <c r="AB86" s="2">
        <v>0.31804820693709585</v>
      </c>
      <c r="AC86" s="16">
        <v>163800</v>
      </c>
      <c r="AD86" s="16">
        <v>51000</v>
      </c>
      <c r="AE86" s="2">
        <v>0.31135531135531136</v>
      </c>
      <c r="AF86" s="17">
        <v>210090</v>
      </c>
      <c r="AG86" s="17">
        <v>69970</v>
      </c>
      <c r="AH86" s="18">
        <v>0.33304774144414301</v>
      </c>
      <c r="AI86" s="15">
        <v>550650</v>
      </c>
      <c r="AJ86" s="15">
        <v>211257</v>
      </c>
      <c r="AK86" s="18">
        <v>0.38365023154453826</v>
      </c>
      <c r="AL86" s="15">
        <v>716430</v>
      </c>
      <c r="AM86" s="15">
        <v>231070</v>
      </c>
      <c r="AN86" s="18">
        <v>0.32252976564353808</v>
      </c>
      <c r="AO86" s="15">
        <v>55200</v>
      </c>
      <c r="AP86" s="15">
        <v>18200</v>
      </c>
      <c r="AQ86" s="18">
        <v>0.32971014492753625</v>
      </c>
      <c r="AR86" s="15">
        <v>105600</v>
      </c>
      <c r="AS86" s="15">
        <v>34350</v>
      </c>
      <c r="AT86" s="18">
        <v>0.32528409090909088</v>
      </c>
      <c r="AU86" s="1">
        <v>143010</v>
      </c>
      <c r="AV86" s="1">
        <v>45100</v>
      </c>
      <c r="AW86" s="18">
        <v>0.31536256205859731</v>
      </c>
      <c r="AX86" s="15">
        <v>307300</v>
      </c>
      <c r="AY86" s="15">
        <v>115400</v>
      </c>
      <c r="AZ86" s="18">
        <v>0.37552879921900423</v>
      </c>
    </row>
    <row r="87" spans="1:52" ht="18.5" thickBot="1" x14ac:dyDescent="0.6"/>
    <row r="88" spans="1:52" ht="18.5" thickBot="1" x14ac:dyDescent="0.6">
      <c r="B88" s="28" t="s">
        <v>19</v>
      </c>
      <c r="E88" s="34">
        <v>3986894</v>
      </c>
      <c r="F88" s="35">
        <v>1448545</v>
      </c>
      <c r="G88" s="36">
        <f>F88/E88</f>
        <v>0.36332668989945555</v>
      </c>
    </row>
    <row r="89" spans="1:52" x14ac:dyDescent="0.55000000000000004">
      <c r="Q89" s="1">
        <v>78600</v>
      </c>
      <c r="R89" s="1">
        <v>26600</v>
      </c>
      <c r="S89" s="2">
        <v>0.33842239185750639</v>
      </c>
      <c r="T89" s="1">
        <v>206900</v>
      </c>
      <c r="U89" s="1">
        <v>67600</v>
      </c>
      <c r="V89" s="2">
        <v>0.32672788786853552</v>
      </c>
      <c r="W89" s="1">
        <v>263100</v>
      </c>
      <c r="X89" s="1">
        <v>104116</v>
      </c>
      <c r="Y89" s="2">
        <v>0.39572786012922845</v>
      </c>
      <c r="Z89" s="1">
        <v>144810</v>
      </c>
      <c r="AA89" s="1">
        <v>61590</v>
      </c>
      <c r="AB89" s="2">
        <v>0.4253159312202196</v>
      </c>
      <c r="AC89" s="1">
        <v>176700</v>
      </c>
      <c r="AD89" s="1">
        <v>58400</v>
      </c>
      <c r="AE89" s="2">
        <v>0.33050367855121676</v>
      </c>
      <c r="AF89" s="1">
        <v>39520</v>
      </c>
      <c r="AG89" s="1">
        <v>12350</v>
      </c>
      <c r="AH89" s="18">
        <v>0.3125</v>
      </c>
      <c r="AI89" s="1">
        <v>518740</v>
      </c>
      <c r="AJ89" s="1">
        <v>211580</v>
      </c>
      <c r="AK89" s="18">
        <v>0.40787292285152482</v>
      </c>
      <c r="AL89" s="1">
        <v>319084</v>
      </c>
      <c r="AM89" s="1">
        <v>120034</v>
      </c>
      <c r="AN89" s="18">
        <v>0.3761830740494666</v>
      </c>
      <c r="AO89" s="1">
        <v>635520</v>
      </c>
      <c r="AP89" s="1">
        <v>225170</v>
      </c>
      <c r="AQ89" s="18">
        <v>0.35430828298086608</v>
      </c>
      <c r="AR89" s="1">
        <v>339850</v>
      </c>
      <c r="AS89" s="1">
        <v>134850</v>
      </c>
      <c r="AT89" s="18">
        <v>0.39679270266293953</v>
      </c>
      <c r="AU89" s="1">
        <v>295600</v>
      </c>
      <c r="AV89" s="1">
        <v>95315</v>
      </c>
      <c r="AW89" s="18">
        <v>0.32244587280108256</v>
      </c>
      <c r="AX89" s="1">
        <v>968470</v>
      </c>
      <c r="AY89" s="1">
        <v>330940</v>
      </c>
      <c r="AZ89" s="18">
        <v>0.34171425031234837</v>
      </c>
    </row>
    <row r="90" spans="1:52" ht="18.5" thickBot="1" x14ac:dyDescent="0.6"/>
    <row r="91" spans="1:52" ht="18.5" thickBot="1" x14ac:dyDescent="0.6">
      <c r="B91" s="28" t="s">
        <v>20</v>
      </c>
      <c r="E91" s="34">
        <v>1894880</v>
      </c>
      <c r="F91" s="35">
        <v>711780</v>
      </c>
      <c r="G91" s="36">
        <f>F91/E91</f>
        <v>0.37563328548509667</v>
      </c>
    </row>
    <row r="92" spans="1:52" x14ac:dyDescent="0.55000000000000004">
      <c r="Q92" s="1">
        <v>160050</v>
      </c>
      <c r="R92" s="1">
        <v>72726</v>
      </c>
      <c r="S92" s="2">
        <v>0.4543955014058107</v>
      </c>
      <c r="T92" s="1">
        <v>27500</v>
      </c>
      <c r="U92" s="1">
        <v>10200</v>
      </c>
      <c r="V92" s="2">
        <v>0.37090909090909091</v>
      </c>
      <c r="W92" s="1">
        <v>233800</v>
      </c>
      <c r="X92" s="1">
        <v>73286</v>
      </c>
      <c r="Y92" s="2">
        <v>0.31345594525235243</v>
      </c>
      <c r="Z92" s="1">
        <v>87650</v>
      </c>
      <c r="AA92" s="1">
        <v>30550</v>
      </c>
      <c r="AB92" s="2">
        <v>0.34854535082715343</v>
      </c>
      <c r="AC92" s="1">
        <v>217200</v>
      </c>
      <c r="AD92" s="1">
        <v>105100</v>
      </c>
      <c r="AE92" s="2">
        <v>0.48388581952117865</v>
      </c>
      <c r="AF92" s="1">
        <v>148230</v>
      </c>
      <c r="AG92" s="1">
        <v>49580</v>
      </c>
      <c r="AH92" s="18">
        <v>0.33448019968967146</v>
      </c>
      <c r="AI92" s="1">
        <v>302100</v>
      </c>
      <c r="AJ92" s="1">
        <v>139700</v>
      </c>
      <c r="AK92" s="18">
        <v>0.46242965905329358</v>
      </c>
      <c r="AL92" s="1">
        <v>20300</v>
      </c>
      <c r="AM92" s="1">
        <v>19388</v>
      </c>
      <c r="AN92" s="18">
        <v>0.95507389162561573</v>
      </c>
      <c r="AO92" s="1">
        <v>228900</v>
      </c>
      <c r="AP92" s="1">
        <v>72500</v>
      </c>
      <c r="AQ92" s="18">
        <v>0.3167321974661424</v>
      </c>
      <c r="AR92" s="1">
        <v>23000</v>
      </c>
      <c r="AS92" s="1">
        <v>7000</v>
      </c>
      <c r="AT92" s="18">
        <v>0.30434782608695654</v>
      </c>
      <c r="AU92" s="1">
        <v>382150</v>
      </c>
      <c r="AV92" s="1">
        <v>146300</v>
      </c>
      <c r="AW92" s="18">
        <v>0.3828339657202669</v>
      </c>
      <c r="AX92" s="1">
        <v>64000</v>
      </c>
      <c r="AY92" s="1">
        <v>-14550</v>
      </c>
      <c r="AZ92" s="18">
        <v>-0.22734375000000001</v>
      </c>
    </row>
    <row r="93" spans="1:52" ht="18.5" thickBot="1" x14ac:dyDescent="0.6"/>
    <row r="94" spans="1:52" ht="18.5" thickBot="1" x14ac:dyDescent="0.6">
      <c r="B94" s="28" t="s">
        <v>21</v>
      </c>
      <c r="E94" s="29">
        <f>SUM(Q95+T95+W95+Z95+AC95+AF95+AI95+AL95+AO95+AR95+AU95+AX95)</f>
        <v>2476430</v>
      </c>
      <c r="F94" s="29">
        <f>SUM(R95+U95+X95+AA95+AD95+AG95+AJ95+AM95+AP95+AS95+AV95+AY95)</f>
        <v>889800</v>
      </c>
      <c r="G94" s="30">
        <f>SUM(F94/E94)</f>
        <v>0.35930755159645134</v>
      </c>
    </row>
    <row r="95" spans="1:52" x14ac:dyDescent="0.55000000000000004">
      <c r="F95" t="s">
        <v>40</v>
      </c>
      <c r="G95">
        <f>SUM(S96+V96+Y96+AB96+AE96+AH96+AK96+AN96+AQ96+AT96+AW96+AZ96)</f>
        <v>36</v>
      </c>
      <c r="Q95" s="1">
        <v>67300</v>
      </c>
      <c r="R95" s="1">
        <v>21300</v>
      </c>
      <c r="S95" s="2">
        <f>R95/Q95</f>
        <v>0.31649331352154531</v>
      </c>
      <c r="T95" s="1">
        <v>171780</v>
      </c>
      <c r="U95" s="1">
        <v>52630</v>
      </c>
      <c r="V95" s="2">
        <f>U95/T95</f>
        <v>0.30638025381301665</v>
      </c>
      <c r="W95" s="1">
        <v>94000</v>
      </c>
      <c r="X95" s="1">
        <v>36100</v>
      </c>
      <c r="Y95" s="2">
        <f>X95/W95</f>
        <v>0.38404255319148939</v>
      </c>
      <c r="Z95" s="1">
        <v>635500</v>
      </c>
      <c r="AA95" s="1">
        <v>205700</v>
      </c>
      <c r="AB95" s="2">
        <f>AA95/Z95</f>
        <v>0.32368214004720691</v>
      </c>
      <c r="AC95" s="1">
        <v>197400</v>
      </c>
      <c r="AD95" s="1">
        <v>67950</v>
      </c>
      <c r="AE95" s="2">
        <f>AD95/AC95</f>
        <v>0.34422492401215804</v>
      </c>
      <c r="AF95" s="1">
        <v>0</v>
      </c>
      <c r="AG95" s="1">
        <v>0</v>
      </c>
      <c r="AH95" s="2" t="e">
        <f>AG95/AF95</f>
        <v>#DIV/0!</v>
      </c>
      <c r="AI95" s="31">
        <v>539130</v>
      </c>
      <c r="AJ95" s="31">
        <v>225470</v>
      </c>
      <c r="AK95" s="2">
        <f>AJ95/AI95</f>
        <v>0.41821082113775898</v>
      </c>
      <c r="AL95" s="32">
        <v>580350</v>
      </c>
      <c r="AM95" s="32">
        <v>204280</v>
      </c>
      <c r="AN95" s="2">
        <f>AM95/AL95</f>
        <v>0.35199448608598261</v>
      </c>
      <c r="AO95" s="1">
        <v>190970</v>
      </c>
      <c r="AP95" s="1">
        <v>76370</v>
      </c>
      <c r="AQ95" s="2">
        <f>AP95/AO95</f>
        <v>0.3999057443577525</v>
      </c>
      <c r="AR95" s="32"/>
      <c r="AS95" s="32"/>
      <c r="AT95" s="2" t="e">
        <f>AS95/AR95</f>
        <v>#DIV/0!</v>
      </c>
      <c r="AU95" s="32"/>
      <c r="AV95" s="32"/>
      <c r="AW95" s="2" t="e">
        <f>AV95/AU95</f>
        <v>#DIV/0!</v>
      </c>
      <c r="AX95" s="32"/>
      <c r="AY95" s="32"/>
      <c r="AZ95" s="2" t="e">
        <f>AY95/AX95</f>
        <v>#DIV/0!</v>
      </c>
    </row>
    <row r="96" spans="1:52" x14ac:dyDescent="0.55000000000000004">
      <c r="Q96" s="33"/>
      <c r="R96" s="33"/>
      <c r="S96" s="33">
        <v>2</v>
      </c>
      <c r="T96" s="33"/>
      <c r="U96" s="33"/>
      <c r="V96" s="33">
        <v>5</v>
      </c>
      <c r="W96" s="33"/>
      <c r="X96" s="33"/>
      <c r="Y96" s="33">
        <v>6</v>
      </c>
      <c r="Z96" s="33"/>
      <c r="AA96" s="33"/>
      <c r="AB96" s="33">
        <v>3</v>
      </c>
      <c r="AC96" s="33"/>
      <c r="AD96" s="33"/>
      <c r="AE96" s="33">
        <v>3</v>
      </c>
      <c r="AF96" s="33"/>
      <c r="AG96" s="33"/>
      <c r="AH96" s="33">
        <v>2</v>
      </c>
      <c r="AI96" s="33"/>
      <c r="AJ96" s="33"/>
      <c r="AK96" s="33">
        <v>6</v>
      </c>
      <c r="AN96">
        <v>5</v>
      </c>
      <c r="AQ96">
        <v>4</v>
      </c>
    </row>
    <row r="97" spans="1:52" ht="18.5" thickBot="1" x14ac:dyDescent="0.6"/>
    <row r="98" spans="1:52" ht="18.5" thickBot="1" x14ac:dyDescent="0.6">
      <c r="A98" s="57" t="s">
        <v>27</v>
      </c>
      <c r="B98" s="58"/>
    </row>
    <row r="99" spans="1:52" ht="18.5" thickBot="1" x14ac:dyDescent="0.6">
      <c r="A99" s="59"/>
      <c r="B99" s="60"/>
      <c r="E99" s="22" t="s">
        <v>1</v>
      </c>
      <c r="F99" s="23" t="s">
        <v>2</v>
      </c>
      <c r="G99" s="24" t="s">
        <v>3</v>
      </c>
      <c r="Q99" s="3" t="s">
        <v>4</v>
      </c>
      <c r="R99" s="4"/>
      <c r="S99" s="5"/>
      <c r="T99" s="3" t="s">
        <v>5</v>
      </c>
      <c r="U99" s="4"/>
      <c r="V99" s="5"/>
      <c r="W99" s="6" t="s">
        <v>6</v>
      </c>
      <c r="X99" s="7"/>
      <c r="Y99" s="5"/>
      <c r="Z99" s="3" t="s">
        <v>7</v>
      </c>
      <c r="AA99" s="4"/>
      <c r="AB99" s="5"/>
      <c r="AC99" s="6" t="s">
        <v>8</v>
      </c>
      <c r="AD99" s="7"/>
      <c r="AE99" s="5"/>
      <c r="AF99" s="3" t="s">
        <v>9</v>
      </c>
      <c r="AG99" s="4"/>
      <c r="AH99" s="5"/>
      <c r="AI99" s="3" t="s">
        <v>10</v>
      </c>
      <c r="AJ99" s="4"/>
      <c r="AK99" s="5"/>
      <c r="AL99" s="3" t="s">
        <v>11</v>
      </c>
      <c r="AM99" s="4"/>
      <c r="AN99" s="5"/>
      <c r="AO99" s="3" t="s">
        <v>12</v>
      </c>
      <c r="AP99" s="4"/>
      <c r="AQ99" s="5"/>
      <c r="AR99" s="3" t="s">
        <v>13</v>
      </c>
      <c r="AS99" s="4"/>
      <c r="AT99" s="5"/>
      <c r="AU99" s="3" t="s">
        <v>14</v>
      </c>
      <c r="AV99" s="4"/>
      <c r="AW99" s="5"/>
      <c r="AX99" s="3" t="s">
        <v>15</v>
      </c>
      <c r="AY99" s="4"/>
      <c r="AZ99" s="5"/>
    </row>
    <row r="100" spans="1:52" ht="18.5" thickBot="1" x14ac:dyDescent="0.6">
      <c r="E100" s="19"/>
      <c r="F100" s="20"/>
      <c r="G100" s="21"/>
      <c r="Q100" s="8" t="s">
        <v>16</v>
      </c>
      <c r="R100" s="8" t="s">
        <v>17</v>
      </c>
      <c r="S100" s="9" t="s">
        <v>3</v>
      </c>
      <c r="T100" s="8" t="s">
        <v>16</v>
      </c>
      <c r="U100" s="8" t="s">
        <v>17</v>
      </c>
      <c r="V100" s="9" t="s">
        <v>3</v>
      </c>
      <c r="W100" s="10" t="s">
        <v>16</v>
      </c>
      <c r="X100" s="10" t="s">
        <v>17</v>
      </c>
      <c r="Y100" s="9" t="s">
        <v>3</v>
      </c>
      <c r="Z100" s="11" t="s">
        <v>16</v>
      </c>
      <c r="AA100" s="11" t="s">
        <v>17</v>
      </c>
      <c r="AB100" s="9" t="s">
        <v>3</v>
      </c>
      <c r="AC100" s="10" t="s">
        <v>16</v>
      </c>
      <c r="AD100" s="10" t="s">
        <v>17</v>
      </c>
      <c r="AE100" s="9" t="s">
        <v>3</v>
      </c>
      <c r="AF100" s="8" t="s">
        <v>16</v>
      </c>
      <c r="AG100" s="8" t="s">
        <v>17</v>
      </c>
      <c r="AH100" s="9" t="s">
        <v>3</v>
      </c>
      <c r="AI100" s="8" t="s">
        <v>16</v>
      </c>
      <c r="AJ100" s="8" t="s">
        <v>17</v>
      </c>
      <c r="AK100" s="9" t="s">
        <v>3</v>
      </c>
      <c r="AL100" s="8" t="s">
        <v>16</v>
      </c>
      <c r="AM100" s="8" t="s">
        <v>17</v>
      </c>
      <c r="AN100" s="9" t="s">
        <v>3</v>
      </c>
      <c r="AO100" s="8" t="s">
        <v>16</v>
      </c>
      <c r="AP100" s="8" t="s">
        <v>17</v>
      </c>
      <c r="AQ100" s="9" t="s">
        <v>3</v>
      </c>
      <c r="AR100" s="8" t="s">
        <v>16</v>
      </c>
      <c r="AS100" s="8" t="s">
        <v>17</v>
      </c>
      <c r="AT100" s="9" t="s">
        <v>3</v>
      </c>
      <c r="AU100" s="8" t="s">
        <v>16</v>
      </c>
      <c r="AV100" s="8" t="s">
        <v>17</v>
      </c>
      <c r="AW100" s="9" t="s">
        <v>3</v>
      </c>
      <c r="AX100" s="8" t="s">
        <v>16</v>
      </c>
      <c r="AY100" s="8" t="s">
        <v>17</v>
      </c>
      <c r="AZ100" s="9" t="s">
        <v>3</v>
      </c>
    </row>
    <row r="101" spans="1:52" ht="18.5" thickBot="1" x14ac:dyDescent="0.6">
      <c r="B101" s="28" t="s">
        <v>18</v>
      </c>
      <c r="E101" s="25">
        <v>2458700</v>
      </c>
      <c r="F101" s="26">
        <v>835583</v>
      </c>
      <c r="G101" s="27">
        <f>F101/E101</f>
        <v>0.33984748037580836</v>
      </c>
      <c r="Q101" s="12"/>
      <c r="R101" s="13"/>
      <c r="S101" s="14"/>
      <c r="T101" s="12"/>
      <c r="U101" s="13"/>
      <c r="V101" s="14"/>
      <c r="W101" s="12"/>
      <c r="X101" s="13"/>
      <c r="Y101" s="14"/>
      <c r="Z101" s="12"/>
      <c r="AA101" s="13"/>
      <c r="AB101" s="14"/>
      <c r="AC101" s="12"/>
      <c r="AD101" s="13"/>
      <c r="AE101" s="14"/>
      <c r="AF101" s="12"/>
      <c r="AG101" s="13"/>
      <c r="AH101" s="14"/>
      <c r="AI101" s="12"/>
      <c r="AJ101" s="13"/>
      <c r="AK101" s="14"/>
      <c r="AL101" s="12"/>
      <c r="AM101" s="13"/>
      <c r="AN101" s="14"/>
      <c r="AO101" s="12"/>
      <c r="AP101" s="13"/>
      <c r="AQ101" s="14"/>
      <c r="AR101" s="12"/>
      <c r="AS101" s="13"/>
      <c r="AT101" s="14"/>
      <c r="AU101" s="12"/>
      <c r="AV101" s="13"/>
      <c r="AW101" s="14"/>
      <c r="AX101" s="12"/>
      <c r="AY101" s="13"/>
      <c r="AZ101" s="14"/>
    </row>
    <row r="102" spans="1:52" x14ac:dyDescent="0.55000000000000004">
      <c r="Q102" s="1">
        <v>256740</v>
      </c>
      <c r="R102" s="1">
        <v>73998</v>
      </c>
      <c r="S102" s="2">
        <v>0.28822154709044168</v>
      </c>
      <c r="T102" s="15">
        <v>131120</v>
      </c>
      <c r="U102" s="15">
        <v>37470</v>
      </c>
      <c r="V102" s="2">
        <v>0.28576876143990237</v>
      </c>
      <c r="W102" s="16">
        <v>275340</v>
      </c>
      <c r="X102" s="16">
        <v>78424</v>
      </c>
      <c r="Y102" s="2">
        <v>0.28482603326795963</v>
      </c>
      <c r="Z102" s="16">
        <v>49800</v>
      </c>
      <c r="AA102" s="16">
        <v>15200</v>
      </c>
      <c r="AB102" s="2">
        <v>0.30522088353413657</v>
      </c>
      <c r="AC102" s="16">
        <v>366710</v>
      </c>
      <c r="AD102" s="16">
        <v>121890</v>
      </c>
      <c r="AE102" s="2">
        <v>0.33238799051021245</v>
      </c>
      <c r="AF102" s="17">
        <v>306060</v>
      </c>
      <c r="AG102" s="17">
        <v>104241</v>
      </c>
      <c r="AH102" s="18">
        <v>0.34059008037639676</v>
      </c>
      <c r="AI102" s="15">
        <v>126800</v>
      </c>
      <c r="AJ102" s="15">
        <v>61920</v>
      </c>
      <c r="AK102" s="18">
        <v>0.48832807570977915</v>
      </c>
      <c r="AL102" s="15">
        <v>107000</v>
      </c>
      <c r="AM102" s="15">
        <v>46385</v>
      </c>
      <c r="AN102" s="18">
        <v>0.56999999999999995</v>
      </c>
      <c r="AO102" s="15">
        <v>209800</v>
      </c>
      <c r="AP102" s="15">
        <v>63060</v>
      </c>
      <c r="AQ102" s="18">
        <v>0.3005719733079123</v>
      </c>
      <c r="AR102" s="15">
        <v>188020</v>
      </c>
      <c r="AS102" s="15">
        <v>68495</v>
      </c>
      <c r="AT102" s="18">
        <v>0.3642963514519732</v>
      </c>
      <c r="AU102" s="1">
        <v>70910</v>
      </c>
      <c r="AV102" s="1">
        <v>38760</v>
      </c>
      <c r="AW102" s="18">
        <v>0.54660837681568186</v>
      </c>
      <c r="AX102" s="15">
        <v>370400</v>
      </c>
      <c r="AY102" s="15">
        <v>125740</v>
      </c>
      <c r="AZ102" s="18">
        <v>0.33947084233261338</v>
      </c>
    </row>
    <row r="103" spans="1:52" ht="18.5" thickBot="1" x14ac:dyDescent="0.6"/>
    <row r="104" spans="1:52" ht="18.5" thickBot="1" x14ac:dyDescent="0.6">
      <c r="B104" s="28" t="s">
        <v>19</v>
      </c>
      <c r="E104" s="34">
        <v>4079460</v>
      </c>
      <c r="F104" s="35">
        <v>1388984</v>
      </c>
      <c r="G104" s="36">
        <f>F104/E104</f>
        <v>0.3404823187382644</v>
      </c>
    </row>
    <row r="105" spans="1:52" x14ac:dyDescent="0.55000000000000004">
      <c r="Q105" s="1">
        <v>483650</v>
      </c>
      <c r="R105" s="1">
        <v>151277</v>
      </c>
      <c r="S105" s="2">
        <v>0.31278197043316447</v>
      </c>
      <c r="T105" s="1">
        <v>207200</v>
      </c>
      <c r="U105" s="1">
        <v>86940</v>
      </c>
      <c r="V105" s="2">
        <v>0.41959459459459458</v>
      </c>
      <c r="W105" s="1">
        <v>508700</v>
      </c>
      <c r="X105" s="1">
        <v>176380</v>
      </c>
      <c r="Y105" s="2">
        <v>0.34672695105170043</v>
      </c>
      <c r="Z105" s="1">
        <v>115500</v>
      </c>
      <c r="AA105" s="1">
        <v>36760</v>
      </c>
      <c r="AB105" s="2">
        <v>0.31826839826839826</v>
      </c>
      <c r="AC105" s="1">
        <v>250200</v>
      </c>
      <c r="AD105" s="1">
        <v>80030</v>
      </c>
      <c r="AE105" s="2">
        <v>0.31986410871302956</v>
      </c>
      <c r="AF105" s="1">
        <v>314440</v>
      </c>
      <c r="AG105" s="1">
        <v>98860</v>
      </c>
      <c r="AH105" s="18">
        <v>0.31440020353644577</v>
      </c>
      <c r="AI105" s="1">
        <v>304770</v>
      </c>
      <c r="AJ105" s="1">
        <v>120890</v>
      </c>
      <c r="AK105" s="18">
        <v>0.39665977622469401</v>
      </c>
      <c r="AL105" s="1">
        <v>523300</v>
      </c>
      <c r="AM105" s="1">
        <v>167220</v>
      </c>
      <c r="AN105" s="18">
        <v>0.56999999999999995</v>
      </c>
      <c r="AO105" s="1">
        <v>314200</v>
      </c>
      <c r="AP105" s="1">
        <v>102770</v>
      </c>
      <c r="AQ105" s="18">
        <v>0.32708465945257797</v>
      </c>
      <c r="AR105" s="1">
        <v>450500</v>
      </c>
      <c r="AS105" s="1">
        <v>157490</v>
      </c>
      <c r="AT105" s="18">
        <v>0.34958934517203105</v>
      </c>
      <c r="AU105" s="1">
        <v>370600</v>
      </c>
      <c r="AV105" s="1">
        <v>126037</v>
      </c>
      <c r="AW105" s="18">
        <v>0.34008904479222885</v>
      </c>
      <c r="AX105" s="1">
        <v>236400</v>
      </c>
      <c r="AY105" s="1">
        <v>84330</v>
      </c>
      <c r="AZ105" s="18">
        <v>0.35672588832487312</v>
      </c>
    </row>
    <row r="106" spans="1:52" ht="18.5" thickBot="1" x14ac:dyDescent="0.6"/>
    <row r="107" spans="1:52" ht="18.5" thickBot="1" x14ac:dyDescent="0.6">
      <c r="B107" s="28" t="s">
        <v>20</v>
      </c>
      <c r="E107" s="34">
        <v>3924810</v>
      </c>
      <c r="F107" s="35">
        <v>1726064</v>
      </c>
      <c r="G107" s="36">
        <f>F107/E107</f>
        <v>0.43978281751218529</v>
      </c>
    </row>
    <row r="108" spans="1:52" x14ac:dyDescent="0.55000000000000004">
      <c r="Q108" s="1">
        <v>169400</v>
      </c>
      <c r="R108" s="1">
        <v>46810</v>
      </c>
      <c r="S108" s="2">
        <v>0.27632821723730816</v>
      </c>
      <c r="T108" s="1">
        <v>240900</v>
      </c>
      <c r="U108" s="1">
        <v>88950</v>
      </c>
      <c r="V108" s="2">
        <v>0.36924034869240346</v>
      </c>
      <c r="W108" s="1">
        <v>341300</v>
      </c>
      <c r="X108" s="1">
        <v>114000</v>
      </c>
      <c r="Y108" s="2">
        <v>0.33401699384705535</v>
      </c>
      <c r="Z108" s="1">
        <v>363900</v>
      </c>
      <c r="AA108" s="1">
        <v>177166</v>
      </c>
      <c r="AB108" s="2">
        <v>0.48685353118988733</v>
      </c>
      <c r="AC108" s="1">
        <v>418350</v>
      </c>
      <c r="AD108" s="1">
        <v>148644</v>
      </c>
      <c r="AE108" s="2">
        <v>0.35531014700609537</v>
      </c>
      <c r="AF108" s="1">
        <v>127200</v>
      </c>
      <c r="AG108" s="1">
        <v>54265</v>
      </c>
      <c r="AH108" s="18">
        <v>0.4266116352201258</v>
      </c>
      <c r="AI108" s="1">
        <v>557600</v>
      </c>
      <c r="AJ108" s="1">
        <v>225985</v>
      </c>
      <c r="AK108" s="18">
        <v>0.40528156384505021</v>
      </c>
      <c r="AL108" s="1">
        <v>213230</v>
      </c>
      <c r="AM108" s="1">
        <v>83482</v>
      </c>
      <c r="AN108" s="18">
        <v>0.56999999999999995</v>
      </c>
      <c r="AO108" s="1">
        <v>558530</v>
      </c>
      <c r="AP108" s="1">
        <v>340242</v>
      </c>
      <c r="AQ108" s="18">
        <v>0.60917408196515854</v>
      </c>
      <c r="AR108" s="1">
        <v>265500</v>
      </c>
      <c r="AS108" s="1">
        <v>150968</v>
      </c>
      <c r="AT108" s="18">
        <v>0.56861770244821097</v>
      </c>
      <c r="AU108" s="1">
        <v>265600</v>
      </c>
      <c r="AV108" s="1">
        <v>99672</v>
      </c>
      <c r="AW108" s="18">
        <v>0.3752710843373494</v>
      </c>
      <c r="AX108" s="1">
        <v>403300</v>
      </c>
      <c r="AY108" s="1">
        <v>195880</v>
      </c>
      <c r="AZ108" s="18">
        <v>0.48569303248202333</v>
      </c>
    </row>
    <row r="109" spans="1:52" ht="18.5" thickBot="1" x14ac:dyDescent="0.6"/>
    <row r="110" spans="1:52" ht="18.5" thickBot="1" x14ac:dyDescent="0.6">
      <c r="B110" s="28" t="s">
        <v>21</v>
      </c>
      <c r="E110" s="29">
        <f>SUM(Q111+T111+W111+Z111+AC111+AF111+AI111+AL111+AO111+AR111+AU111+AX111)</f>
        <v>4349540</v>
      </c>
      <c r="F110" s="29">
        <f>SUM(R111+U111+X111+AA111+AD111+AG111+AJ111+AM111+AP111+AS111+AV111+AY111)</f>
        <v>1717663</v>
      </c>
      <c r="G110" s="36">
        <f>F110/E110</f>
        <v>0.39490681773244984</v>
      </c>
    </row>
    <row r="111" spans="1:52" x14ac:dyDescent="0.55000000000000004">
      <c r="F111" t="s">
        <v>40</v>
      </c>
      <c r="G111">
        <f>SUM(S112+V112+Y112+AB112+AE112+AH112+AK112+AN112+AQ112+AT112+AW112+AZ112)</f>
        <v>101</v>
      </c>
      <c r="Q111" s="1">
        <v>440200</v>
      </c>
      <c r="R111" s="1">
        <v>153690</v>
      </c>
      <c r="S111" s="2">
        <f>R111/Q111</f>
        <v>0.34913675601999089</v>
      </c>
      <c r="T111" s="1">
        <v>978100</v>
      </c>
      <c r="U111" s="1">
        <v>399449</v>
      </c>
      <c r="V111" s="2">
        <f>U111/T111</f>
        <v>0.40839280237194558</v>
      </c>
      <c r="W111" s="1">
        <v>297200</v>
      </c>
      <c r="X111" s="1">
        <v>147100</v>
      </c>
      <c r="Y111" s="2">
        <f>X111/W111</f>
        <v>0.4949528936742934</v>
      </c>
      <c r="Z111" s="1">
        <v>306840</v>
      </c>
      <c r="AA111" s="1">
        <v>128220</v>
      </c>
      <c r="AB111" s="2">
        <f>AA111/Z111</f>
        <v>0.41787250684395777</v>
      </c>
      <c r="AC111" s="1">
        <v>779600</v>
      </c>
      <c r="AD111" s="1">
        <v>291316</v>
      </c>
      <c r="AE111" s="2">
        <f>AD111/AC111</f>
        <v>0.37367367880964597</v>
      </c>
      <c r="AF111" s="1">
        <v>291400</v>
      </c>
      <c r="AG111" s="1">
        <v>101220</v>
      </c>
      <c r="AH111" s="2">
        <f>AG111/AF111</f>
        <v>0.34735758407687028</v>
      </c>
      <c r="AI111" s="31">
        <v>292200</v>
      </c>
      <c r="AJ111" s="31">
        <v>145580</v>
      </c>
      <c r="AK111" s="2">
        <f>AJ111/AI111</f>
        <v>0.49822039698836412</v>
      </c>
      <c r="AL111" s="32">
        <v>248600</v>
      </c>
      <c r="AM111" s="32">
        <v>85745</v>
      </c>
      <c r="AN111" s="2">
        <f>AM111/AL111</f>
        <v>0.34491150442477875</v>
      </c>
      <c r="AO111" s="1">
        <v>715400</v>
      </c>
      <c r="AP111" s="1">
        <v>265343</v>
      </c>
      <c r="AQ111" s="2">
        <f>AP111/AO111</f>
        <v>0.370901593514118</v>
      </c>
      <c r="AR111" s="32"/>
      <c r="AS111" s="32"/>
      <c r="AT111" s="2" t="e">
        <f>AS111/AR111</f>
        <v>#DIV/0!</v>
      </c>
      <c r="AU111" s="32"/>
      <c r="AV111" s="32"/>
      <c r="AW111" s="2" t="e">
        <f>AV111/AU111</f>
        <v>#DIV/0!</v>
      </c>
      <c r="AX111" s="32"/>
      <c r="AY111" s="32"/>
      <c r="AZ111" s="2" t="e">
        <f>AY111/AX111</f>
        <v>#DIV/0!</v>
      </c>
    </row>
    <row r="112" spans="1:52" x14ac:dyDescent="0.55000000000000004">
      <c r="Q112" s="33"/>
      <c r="R112" s="33"/>
      <c r="S112" s="33">
        <v>12</v>
      </c>
      <c r="T112" s="33"/>
      <c r="U112" s="33"/>
      <c r="V112" s="33">
        <v>12</v>
      </c>
      <c r="W112" s="33"/>
      <c r="X112" s="33"/>
      <c r="Y112" s="33">
        <v>11</v>
      </c>
      <c r="Z112" s="33"/>
      <c r="AA112" s="33"/>
      <c r="AB112" s="33">
        <v>16</v>
      </c>
      <c r="AC112" s="33"/>
      <c r="AD112" s="33"/>
      <c r="AE112" s="33">
        <v>21</v>
      </c>
      <c r="AF112" s="33"/>
      <c r="AG112" s="33"/>
      <c r="AH112" s="33">
        <v>6</v>
      </c>
      <c r="AI112" s="33"/>
      <c r="AJ112" s="33"/>
      <c r="AK112" s="33">
        <v>6</v>
      </c>
      <c r="AQ112">
        <v>17</v>
      </c>
    </row>
    <row r="113" spans="1:52" ht="18.5" thickBot="1" x14ac:dyDescent="0.6"/>
    <row r="114" spans="1:52" ht="18.5" thickBot="1" x14ac:dyDescent="0.6">
      <c r="A114" s="57" t="s">
        <v>28</v>
      </c>
      <c r="B114" s="58"/>
    </row>
    <row r="115" spans="1:52" ht="18.5" thickBot="1" x14ac:dyDescent="0.6">
      <c r="A115" s="59"/>
      <c r="B115" s="60"/>
      <c r="E115" s="22" t="s">
        <v>1</v>
      </c>
      <c r="F115" s="23" t="s">
        <v>2</v>
      </c>
      <c r="G115" s="24" t="s">
        <v>3</v>
      </c>
      <c r="Q115" s="3" t="s">
        <v>4</v>
      </c>
      <c r="R115" s="4"/>
      <c r="S115" s="5"/>
      <c r="T115" s="3" t="s">
        <v>5</v>
      </c>
      <c r="U115" s="4"/>
      <c r="V115" s="5"/>
      <c r="W115" s="6" t="s">
        <v>6</v>
      </c>
      <c r="X115" s="7"/>
      <c r="Y115" s="5"/>
      <c r="Z115" s="3" t="s">
        <v>7</v>
      </c>
      <c r="AA115" s="4"/>
      <c r="AB115" s="5"/>
      <c r="AC115" s="6" t="s">
        <v>8</v>
      </c>
      <c r="AD115" s="7"/>
      <c r="AE115" s="5"/>
      <c r="AF115" s="3" t="s">
        <v>9</v>
      </c>
      <c r="AG115" s="4"/>
      <c r="AH115" s="5"/>
      <c r="AI115" s="3" t="s">
        <v>10</v>
      </c>
      <c r="AJ115" s="4"/>
      <c r="AK115" s="5"/>
      <c r="AL115" s="3" t="s">
        <v>11</v>
      </c>
      <c r="AM115" s="4"/>
      <c r="AN115" s="5"/>
      <c r="AO115" s="3" t="s">
        <v>12</v>
      </c>
      <c r="AP115" s="4"/>
      <c r="AQ115" s="5"/>
      <c r="AR115" s="3" t="s">
        <v>13</v>
      </c>
      <c r="AS115" s="4"/>
      <c r="AT115" s="5"/>
      <c r="AU115" s="3" t="s">
        <v>14</v>
      </c>
      <c r="AV115" s="4"/>
      <c r="AW115" s="5"/>
      <c r="AX115" s="3" t="s">
        <v>15</v>
      </c>
      <c r="AY115" s="4"/>
      <c r="AZ115" s="5"/>
    </row>
    <row r="116" spans="1:52" ht="18.5" thickBot="1" x14ac:dyDescent="0.6">
      <c r="E116" s="19"/>
      <c r="F116" s="20"/>
      <c r="G116" s="21"/>
      <c r="Q116" s="8" t="s">
        <v>16</v>
      </c>
      <c r="R116" s="8" t="s">
        <v>17</v>
      </c>
      <c r="S116" s="9" t="s">
        <v>3</v>
      </c>
      <c r="T116" s="8" t="s">
        <v>16</v>
      </c>
      <c r="U116" s="8" t="s">
        <v>17</v>
      </c>
      <c r="V116" s="9" t="s">
        <v>3</v>
      </c>
      <c r="W116" s="10" t="s">
        <v>16</v>
      </c>
      <c r="X116" s="10" t="s">
        <v>17</v>
      </c>
      <c r="Y116" s="9" t="s">
        <v>3</v>
      </c>
      <c r="Z116" s="11" t="s">
        <v>16</v>
      </c>
      <c r="AA116" s="11" t="s">
        <v>17</v>
      </c>
      <c r="AB116" s="9" t="s">
        <v>3</v>
      </c>
      <c r="AC116" s="10" t="s">
        <v>16</v>
      </c>
      <c r="AD116" s="10" t="s">
        <v>17</v>
      </c>
      <c r="AE116" s="9" t="s">
        <v>3</v>
      </c>
      <c r="AF116" s="8" t="s">
        <v>16</v>
      </c>
      <c r="AG116" s="8" t="s">
        <v>17</v>
      </c>
      <c r="AH116" s="9" t="s">
        <v>3</v>
      </c>
      <c r="AI116" s="8" t="s">
        <v>16</v>
      </c>
      <c r="AJ116" s="8" t="s">
        <v>17</v>
      </c>
      <c r="AK116" s="9" t="s">
        <v>3</v>
      </c>
      <c r="AL116" s="8" t="s">
        <v>16</v>
      </c>
      <c r="AM116" s="8" t="s">
        <v>17</v>
      </c>
      <c r="AN116" s="9" t="s">
        <v>3</v>
      </c>
      <c r="AO116" s="8" t="s">
        <v>16</v>
      </c>
      <c r="AP116" s="8" t="s">
        <v>17</v>
      </c>
      <c r="AQ116" s="9" t="s">
        <v>3</v>
      </c>
      <c r="AR116" s="8" t="s">
        <v>16</v>
      </c>
      <c r="AS116" s="8" t="s">
        <v>17</v>
      </c>
      <c r="AT116" s="9" t="s">
        <v>3</v>
      </c>
      <c r="AU116" s="8" t="s">
        <v>16</v>
      </c>
      <c r="AV116" s="8" t="s">
        <v>17</v>
      </c>
      <c r="AW116" s="9" t="s">
        <v>3</v>
      </c>
      <c r="AX116" s="8" t="s">
        <v>16</v>
      </c>
      <c r="AY116" s="8" t="s">
        <v>17</v>
      </c>
      <c r="AZ116" s="9" t="s">
        <v>3</v>
      </c>
    </row>
    <row r="117" spans="1:52" ht="18.5" thickBot="1" x14ac:dyDescent="0.6">
      <c r="B117" s="28" t="s">
        <v>18</v>
      </c>
      <c r="E117" s="25">
        <v>24328497</v>
      </c>
      <c r="F117" s="26">
        <v>10749650</v>
      </c>
      <c r="G117" s="27">
        <f>F117/E117</f>
        <v>0.44185425840322151</v>
      </c>
      <c r="Q117" s="12"/>
      <c r="R117" s="13"/>
      <c r="S117" s="14"/>
      <c r="T117" s="12"/>
      <c r="U117" s="13"/>
      <c r="V117" s="14"/>
      <c r="W117" s="12"/>
      <c r="X117" s="13"/>
      <c r="Y117" s="14"/>
      <c r="Z117" s="12"/>
      <c r="AA117" s="13"/>
      <c r="AB117" s="14"/>
      <c r="AC117" s="12"/>
      <c r="AD117" s="13"/>
      <c r="AE117" s="14"/>
      <c r="AF117" s="12"/>
      <c r="AG117" s="13"/>
      <c r="AH117" s="14"/>
      <c r="AI117" s="12"/>
      <c r="AJ117" s="13"/>
      <c r="AK117" s="14"/>
      <c r="AL117" s="12"/>
      <c r="AM117" s="13"/>
      <c r="AN117" s="14"/>
      <c r="AO117" s="12"/>
      <c r="AP117" s="13"/>
      <c r="AQ117" s="14"/>
      <c r="AR117" s="12"/>
      <c r="AS117" s="13"/>
      <c r="AT117" s="14"/>
      <c r="AU117" s="12"/>
      <c r="AV117" s="13"/>
      <c r="AW117" s="14"/>
      <c r="AX117" s="12"/>
      <c r="AY117" s="13"/>
      <c r="AZ117" s="14"/>
    </row>
    <row r="118" spans="1:52" x14ac:dyDescent="0.55000000000000004">
      <c r="B118" t="s">
        <v>30</v>
      </c>
      <c r="Q118" s="1"/>
      <c r="R118" s="1"/>
      <c r="S118" s="2"/>
      <c r="T118" s="15"/>
      <c r="U118" s="15"/>
      <c r="V118" s="2"/>
      <c r="W118" s="16"/>
      <c r="X118" s="16"/>
      <c r="Y118" s="2"/>
      <c r="Z118" s="16"/>
      <c r="AA118" s="16"/>
      <c r="AB118" s="2"/>
      <c r="AC118" s="16"/>
      <c r="AD118" s="16"/>
      <c r="AE118" s="2"/>
      <c r="AF118" s="17"/>
      <c r="AG118" s="17"/>
      <c r="AH118" s="18"/>
      <c r="AI118" s="15"/>
      <c r="AJ118" s="15"/>
      <c r="AK118" s="18"/>
      <c r="AL118" s="15"/>
      <c r="AM118" s="15"/>
      <c r="AN118" s="18"/>
      <c r="AO118" s="15"/>
      <c r="AP118" s="15"/>
      <c r="AQ118" s="18"/>
      <c r="AR118" s="15"/>
      <c r="AS118" s="15"/>
      <c r="AT118" s="18"/>
      <c r="AU118" s="1"/>
      <c r="AV118" s="1"/>
      <c r="AW118" s="18"/>
      <c r="AX118" s="15"/>
      <c r="AY118" s="15"/>
      <c r="AZ118" s="18"/>
    </row>
    <row r="119" spans="1:52" ht="18.5" thickBot="1" x14ac:dyDescent="0.6"/>
    <row r="120" spans="1:52" ht="18.5" thickBot="1" x14ac:dyDescent="0.6">
      <c r="B120" s="28" t="s">
        <v>19</v>
      </c>
      <c r="E120" s="34">
        <v>40066245</v>
      </c>
      <c r="F120" s="35">
        <v>11975352</v>
      </c>
      <c r="G120" s="36">
        <f>F120/E120</f>
        <v>0.29888880278149349</v>
      </c>
    </row>
    <row r="121" spans="1:52" x14ac:dyDescent="0.55000000000000004">
      <c r="B121" t="s">
        <v>29</v>
      </c>
      <c r="Q121" s="1"/>
      <c r="R121" s="1"/>
      <c r="S121" s="2"/>
      <c r="T121" s="1"/>
      <c r="U121" s="1"/>
      <c r="V121" s="2"/>
      <c r="W121" s="1"/>
      <c r="X121" s="1"/>
      <c r="Y121" s="2"/>
      <c r="Z121" s="1"/>
      <c r="AA121" s="1"/>
      <c r="AB121" s="2"/>
      <c r="AC121" s="1"/>
      <c r="AD121" s="1"/>
      <c r="AE121" s="2"/>
      <c r="AF121" s="1"/>
      <c r="AG121" s="1"/>
      <c r="AH121" s="18"/>
      <c r="AI121" s="1"/>
      <c r="AJ121" s="1"/>
      <c r="AK121" s="18"/>
      <c r="AL121" s="1"/>
      <c r="AM121" s="1"/>
      <c r="AN121" s="18"/>
      <c r="AO121" s="1"/>
      <c r="AP121" s="1"/>
      <c r="AQ121" s="18"/>
      <c r="AR121" s="1"/>
      <c r="AS121" s="1"/>
      <c r="AT121" s="18"/>
      <c r="AU121" s="1"/>
      <c r="AV121" s="1"/>
      <c r="AW121" s="18"/>
      <c r="AX121" s="1"/>
      <c r="AY121" s="1"/>
      <c r="AZ121" s="18"/>
    </row>
    <row r="122" spans="1:52" ht="18.5" thickBot="1" x14ac:dyDescent="0.6"/>
    <row r="123" spans="1:52" ht="18.5" thickBot="1" x14ac:dyDescent="0.6">
      <c r="B123" s="28" t="s">
        <v>20</v>
      </c>
      <c r="E123" s="34">
        <v>34774142</v>
      </c>
      <c r="F123" s="35">
        <v>10151970</v>
      </c>
      <c r="G123" s="36">
        <f>F123/E123</f>
        <v>0.29194020085384131</v>
      </c>
    </row>
    <row r="124" spans="1:52" x14ac:dyDescent="0.55000000000000004">
      <c r="B124" t="s">
        <v>29</v>
      </c>
      <c r="Q124" s="1"/>
      <c r="R124" s="1"/>
      <c r="S124" s="2"/>
      <c r="T124" s="1"/>
      <c r="U124" s="1"/>
      <c r="V124" s="2"/>
      <c r="W124" s="1"/>
      <c r="X124" s="1"/>
      <c r="Y124" s="2"/>
      <c r="Z124" s="1"/>
      <c r="AA124" s="1"/>
      <c r="AB124" s="2"/>
      <c r="AC124" s="1"/>
      <c r="AD124" s="1"/>
      <c r="AE124" s="2"/>
      <c r="AF124" s="1"/>
      <c r="AG124" s="1"/>
      <c r="AH124" s="18"/>
      <c r="AI124" s="1"/>
      <c r="AJ124" s="1"/>
      <c r="AK124" s="18"/>
      <c r="AL124" s="1"/>
      <c r="AM124" s="1"/>
      <c r="AN124" s="18"/>
      <c r="AO124" s="1"/>
      <c r="AP124" s="1"/>
      <c r="AQ124" s="18"/>
      <c r="AR124" s="1"/>
      <c r="AS124" s="1"/>
      <c r="AT124" s="18"/>
      <c r="AU124" s="1"/>
      <c r="AV124" s="1"/>
      <c r="AW124" s="18"/>
      <c r="AX124" s="1"/>
      <c r="AY124" s="1"/>
      <c r="AZ124" s="18"/>
    </row>
    <row r="125" spans="1:52" ht="18.5" thickBot="1" x14ac:dyDescent="0.6"/>
    <row r="126" spans="1:52" ht="18.5" thickBot="1" x14ac:dyDescent="0.6">
      <c r="B126" s="28" t="s">
        <v>21</v>
      </c>
      <c r="E126" s="29">
        <f>SUM(Q127+T127+W127+Z127+AC127+AF127+AI127+AL127+AO127+AR127+AU127+AX127)</f>
        <v>12954235</v>
      </c>
      <c r="F126" s="29">
        <f>SUM(R127+U127+X127+AA127+AD127+AG127+AJ127+AM127+AP127+AS127+AV127+AY127)</f>
        <v>5917051</v>
      </c>
      <c r="G126" s="36">
        <f>F126/E126</f>
        <v>0.45676576038646821</v>
      </c>
    </row>
    <row r="127" spans="1:52" x14ac:dyDescent="0.55000000000000004">
      <c r="B127" s="28" t="s">
        <v>31</v>
      </c>
      <c r="F127" t="s">
        <v>40</v>
      </c>
      <c r="G127">
        <f>SUM(S128+V128+Y128+AB128+AE128+AH128+AK128+AN128+AQ128+AT128+AW128+AZ128)</f>
        <v>295</v>
      </c>
      <c r="Q127" s="1">
        <v>1080700</v>
      </c>
      <c r="R127" s="1">
        <v>316309</v>
      </c>
      <c r="S127" s="2">
        <f>R127/Q127</f>
        <v>0.29268899787174979</v>
      </c>
      <c r="T127" s="1">
        <v>2708610</v>
      </c>
      <c r="U127" s="1">
        <v>1284338</v>
      </c>
      <c r="V127" s="2">
        <f>U127/T127</f>
        <v>0.47416866953898862</v>
      </c>
      <c r="W127" s="1">
        <v>1123360</v>
      </c>
      <c r="X127" s="1">
        <v>524820</v>
      </c>
      <c r="Y127" s="2">
        <f>X127/W127</f>
        <v>0.46718772254664576</v>
      </c>
      <c r="Z127" s="1">
        <v>1482210</v>
      </c>
      <c r="AA127" s="1">
        <v>902650</v>
      </c>
      <c r="AB127" s="2">
        <f>AA127/Z127</f>
        <v>0.60898927952179516</v>
      </c>
      <c r="AC127" s="1">
        <v>799600</v>
      </c>
      <c r="AD127" s="1">
        <v>311316</v>
      </c>
      <c r="AE127" s="2">
        <f>AD127/AC127</f>
        <v>0.38933966983491747</v>
      </c>
      <c r="AF127" s="1">
        <v>1302715</v>
      </c>
      <c r="AG127" s="1">
        <v>521468</v>
      </c>
      <c r="AH127" s="2">
        <f>AG127/AF127</f>
        <v>0.40029323374644493</v>
      </c>
      <c r="AI127" s="31">
        <v>2020010</v>
      </c>
      <c r="AJ127" s="31">
        <v>1090842</v>
      </c>
      <c r="AK127" s="2">
        <f>AJ127/AI127</f>
        <v>0.54001811872218453</v>
      </c>
      <c r="AL127" s="32">
        <v>967580</v>
      </c>
      <c r="AM127" s="32">
        <v>420100</v>
      </c>
      <c r="AN127" s="2">
        <f>AM127/AL127</f>
        <v>0.43417598544823166</v>
      </c>
      <c r="AO127" s="1">
        <v>1469450</v>
      </c>
      <c r="AP127" s="1">
        <v>545208</v>
      </c>
      <c r="AQ127" s="2">
        <f>AP127/AO127</f>
        <v>0.37102861614889926</v>
      </c>
      <c r="AR127" s="32"/>
      <c r="AS127" s="32"/>
      <c r="AT127" s="2" t="e">
        <f>AS127/AR127</f>
        <v>#DIV/0!</v>
      </c>
      <c r="AU127" s="32"/>
      <c r="AV127" s="32"/>
      <c r="AW127" s="2" t="e">
        <f>AV127/AU127</f>
        <v>#DIV/0!</v>
      </c>
      <c r="AX127" s="32"/>
      <c r="AY127" s="32"/>
      <c r="AZ127" s="2" t="e">
        <f>AY127/AX127</f>
        <v>#DIV/0!</v>
      </c>
    </row>
    <row r="128" spans="1:52" x14ac:dyDescent="0.55000000000000004">
      <c r="Q128" s="33"/>
      <c r="R128" s="33"/>
      <c r="S128" s="33">
        <v>31</v>
      </c>
      <c r="T128" s="33"/>
      <c r="U128" s="33"/>
      <c r="V128" s="33">
        <v>38</v>
      </c>
      <c r="W128" s="33"/>
      <c r="X128" s="33"/>
      <c r="Y128" s="33">
        <v>26</v>
      </c>
      <c r="Z128" s="33"/>
      <c r="AA128" s="33"/>
      <c r="AB128" s="33">
        <v>42</v>
      </c>
      <c r="AC128" s="33"/>
      <c r="AD128" s="33"/>
      <c r="AE128" s="33">
        <v>23</v>
      </c>
      <c r="AF128" s="33"/>
      <c r="AG128" s="33"/>
      <c r="AH128" s="33">
        <v>26</v>
      </c>
      <c r="AI128" s="33"/>
      <c r="AJ128" s="33"/>
      <c r="AK128" s="33">
        <v>43</v>
      </c>
      <c r="AN128">
        <v>36</v>
      </c>
      <c r="AQ128">
        <v>30</v>
      </c>
    </row>
    <row r="130" spans="1:52" ht="18.5" thickBot="1" x14ac:dyDescent="0.6"/>
    <row r="131" spans="1:52" ht="18.5" thickBot="1" x14ac:dyDescent="0.6">
      <c r="A131" s="61" t="s">
        <v>36</v>
      </c>
      <c r="B131" s="62"/>
    </row>
    <row r="132" spans="1:52" ht="18.5" thickBot="1" x14ac:dyDescent="0.6">
      <c r="A132" s="63"/>
      <c r="B132" s="64"/>
      <c r="E132" s="22" t="s">
        <v>1</v>
      </c>
      <c r="F132" s="23" t="s">
        <v>2</v>
      </c>
      <c r="G132" s="24" t="s">
        <v>3</v>
      </c>
      <c r="Q132" s="3" t="s">
        <v>4</v>
      </c>
      <c r="R132" s="4"/>
      <c r="S132" s="5"/>
      <c r="T132" s="3" t="s">
        <v>5</v>
      </c>
      <c r="U132" s="4"/>
      <c r="V132" s="5"/>
      <c r="W132" s="6" t="s">
        <v>6</v>
      </c>
      <c r="X132" s="7"/>
      <c r="Y132" s="5"/>
      <c r="Z132" s="3" t="s">
        <v>7</v>
      </c>
      <c r="AA132" s="4"/>
      <c r="AB132" s="5"/>
      <c r="AC132" s="6" t="s">
        <v>8</v>
      </c>
      <c r="AD132" s="7"/>
      <c r="AE132" s="5"/>
      <c r="AF132" s="3" t="s">
        <v>9</v>
      </c>
      <c r="AG132" s="4"/>
      <c r="AH132" s="5"/>
      <c r="AI132" s="3" t="s">
        <v>10</v>
      </c>
      <c r="AJ132" s="4"/>
      <c r="AK132" s="5"/>
      <c r="AL132" s="3" t="s">
        <v>11</v>
      </c>
      <c r="AM132" s="4"/>
      <c r="AN132" s="5"/>
      <c r="AO132" s="3" t="s">
        <v>12</v>
      </c>
      <c r="AP132" s="4"/>
      <c r="AQ132" s="5"/>
      <c r="AR132" s="3" t="s">
        <v>13</v>
      </c>
      <c r="AS132" s="4"/>
      <c r="AT132" s="5"/>
      <c r="AU132" s="3" t="s">
        <v>14</v>
      </c>
      <c r="AV132" s="4"/>
      <c r="AW132" s="5"/>
      <c r="AX132" s="3" t="s">
        <v>15</v>
      </c>
      <c r="AY132" s="4"/>
      <c r="AZ132" s="5"/>
    </row>
    <row r="133" spans="1:52" ht="18.5" thickBot="1" x14ac:dyDescent="0.6">
      <c r="E133" s="19"/>
      <c r="F133" s="20"/>
      <c r="G133" s="21"/>
      <c r="Q133" s="8" t="s">
        <v>16</v>
      </c>
      <c r="R133" s="8" t="s">
        <v>17</v>
      </c>
      <c r="S133" s="9" t="s">
        <v>3</v>
      </c>
      <c r="T133" s="8" t="s">
        <v>16</v>
      </c>
      <c r="U133" s="8" t="s">
        <v>17</v>
      </c>
      <c r="V133" s="9" t="s">
        <v>3</v>
      </c>
      <c r="W133" s="10" t="s">
        <v>16</v>
      </c>
      <c r="X133" s="10" t="s">
        <v>17</v>
      </c>
      <c r="Y133" s="9" t="s">
        <v>3</v>
      </c>
      <c r="Z133" s="11" t="s">
        <v>16</v>
      </c>
      <c r="AA133" s="11" t="s">
        <v>17</v>
      </c>
      <c r="AB133" s="9" t="s">
        <v>3</v>
      </c>
      <c r="AC133" s="10" t="s">
        <v>16</v>
      </c>
      <c r="AD133" s="10" t="s">
        <v>17</v>
      </c>
      <c r="AE133" s="9" t="s">
        <v>3</v>
      </c>
      <c r="AF133" s="8" t="s">
        <v>16</v>
      </c>
      <c r="AG133" s="8" t="s">
        <v>17</v>
      </c>
      <c r="AH133" s="9" t="s">
        <v>3</v>
      </c>
      <c r="AI133" s="8" t="s">
        <v>16</v>
      </c>
      <c r="AJ133" s="8" t="s">
        <v>17</v>
      </c>
      <c r="AK133" s="9" t="s">
        <v>3</v>
      </c>
      <c r="AL133" s="8" t="s">
        <v>16</v>
      </c>
      <c r="AM133" s="8" t="s">
        <v>17</v>
      </c>
      <c r="AN133" s="9" t="s">
        <v>3</v>
      </c>
      <c r="AO133" s="8" t="s">
        <v>16</v>
      </c>
      <c r="AP133" s="8" t="s">
        <v>17</v>
      </c>
      <c r="AQ133" s="9" t="s">
        <v>3</v>
      </c>
      <c r="AR133" s="8" t="s">
        <v>16</v>
      </c>
      <c r="AS133" s="8" t="s">
        <v>17</v>
      </c>
      <c r="AT133" s="9" t="s">
        <v>3</v>
      </c>
      <c r="AU133" s="8" t="s">
        <v>16</v>
      </c>
      <c r="AV133" s="8" t="s">
        <v>17</v>
      </c>
      <c r="AW133" s="9" t="s">
        <v>3</v>
      </c>
      <c r="AX133" s="8" t="s">
        <v>16</v>
      </c>
      <c r="AY133" s="8" t="s">
        <v>17</v>
      </c>
      <c r="AZ133" s="9" t="s">
        <v>3</v>
      </c>
    </row>
    <row r="134" spans="1:52" ht="18.5" thickBot="1" x14ac:dyDescent="0.6">
      <c r="B134" s="28" t="s">
        <v>18</v>
      </c>
      <c r="E134" s="25">
        <v>90884262</v>
      </c>
      <c r="F134" s="26">
        <v>35671996</v>
      </c>
      <c r="G134" s="27">
        <f>F134/E134</f>
        <v>0.39249915458410173</v>
      </c>
      <c r="Q134" s="12"/>
      <c r="R134" s="13"/>
      <c r="S134" s="14"/>
      <c r="T134" s="12"/>
      <c r="U134" s="13"/>
      <c r="V134" s="14"/>
      <c r="W134" s="12"/>
      <c r="X134" s="13"/>
      <c r="Y134" s="14"/>
      <c r="Z134" s="12"/>
      <c r="AA134" s="13"/>
      <c r="AB134" s="14"/>
      <c r="AC134" s="12"/>
      <c r="AD134" s="13"/>
      <c r="AE134" s="14"/>
      <c r="AF134" s="12"/>
      <c r="AG134" s="13"/>
      <c r="AH134" s="14"/>
      <c r="AI134" s="12"/>
      <c r="AJ134" s="13"/>
      <c r="AK134" s="14"/>
      <c r="AL134" s="12"/>
      <c r="AM134" s="13"/>
      <c r="AN134" s="14"/>
      <c r="AO134" s="12"/>
      <c r="AP134" s="13"/>
      <c r="AQ134" s="14"/>
      <c r="AR134" s="12"/>
      <c r="AS134" s="13"/>
      <c r="AT134" s="14"/>
      <c r="AU134" s="12"/>
      <c r="AV134" s="13"/>
      <c r="AW134" s="14"/>
      <c r="AX134" s="12"/>
      <c r="AY134" s="13"/>
      <c r="AZ134" s="14"/>
    </row>
    <row r="135" spans="1:52" x14ac:dyDescent="0.55000000000000004">
      <c r="B135" s="28"/>
      <c r="E135" s="42"/>
      <c r="F135" s="42"/>
      <c r="G135" s="41"/>
      <c r="Q135" s="1">
        <v>7722980</v>
      </c>
      <c r="R135" s="1">
        <v>3065186</v>
      </c>
      <c r="S135" s="2">
        <v>0.39689161437683379</v>
      </c>
      <c r="T135" s="15">
        <v>6793305</v>
      </c>
      <c r="U135" s="15">
        <v>2653762</v>
      </c>
      <c r="V135" s="2">
        <v>0.39064372937767405</v>
      </c>
      <c r="W135" s="16">
        <v>7259760</v>
      </c>
      <c r="X135" s="16">
        <v>2877745</v>
      </c>
      <c r="Y135" s="2">
        <v>0.39639671283899192</v>
      </c>
      <c r="Z135" s="16">
        <v>5738880</v>
      </c>
      <c r="AA135" s="16">
        <v>2597209</v>
      </c>
      <c r="AB135" s="2">
        <v>0.4525637406601985</v>
      </c>
      <c r="AC135" s="16">
        <v>7286220</v>
      </c>
      <c r="AD135" s="16">
        <v>2552741</v>
      </c>
      <c r="AE135" s="2">
        <v>0.35035189714282577</v>
      </c>
      <c r="AF135" s="17">
        <v>8388830</v>
      </c>
      <c r="AG135" s="17">
        <v>3802168</v>
      </c>
      <c r="AH135" s="18">
        <v>0.45324175123348548</v>
      </c>
      <c r="AI135" s="15">
        <v>6289060</v>
      </c>
      <c r="AJ135" s="15">
        <v>2796272</v>
      </c>
      <c r="AK135" s="18">
        <v>0.4446247928943276</v>
      </c>
      <c r="AL135" s="15">
        <v>11167332</v>
      </c>
      <c r="AM135" s="15">
        <v>3834647</v>
      </c>
      <c r="AN135" s="18">
        <v>0.34338076453713384</v>
      </c>
      <c r="AO135" s="15">
        <v>6823960</v>
      </c>
      <c r="AP135" s="15">
        <v>2761580</v>
      </c>
      <c r="AQ135" s="18">
        <v>0.40468877308776724</v>
      </c>
      <c r="AR135" s="15">
        <v>6394440</v>
      </c>
      <c r="AS135" s="15">
        <v>2447652</v>
      </c>
      <c r="AT135" s="18">
        <v>0.38277816352956628</v>
      </c>
      <c r="AU135" s="1">
        <v>8774030</v>
      </c>
      <c r="AV135" s="1">
        <v>3171226</v>
      </c>
      <c r="AW135" s="18">
        <v>0.36143322965615571</v>
      </c>
      <c r="AX135" s="15">
        <v>8245465</v>
      </c>
      <c r="AY135" s="15">
        <v>3111808</v>
      </c>
      <c r="AZ135" s="18">
        <v>0.37739630208848135</v>
      </c>
    </row>
    <row r="136" spans="1:52" x14ac:dyDescent="0.55000000000000004">
      <c r="B136" s="28"/>
      <c r="E136" s="42"/>
      <c r="F136" s="42"/>
      <c r="G136" s="41"/>
      <c r="Q136" s="42"/>
      <c r="R136" s="42"/>
      <c r="S136" s="41"/>
      <c r="T136" s="43"/>
      <c r="U136" s="43"/>
      <c r="V136" s="41"/>
      <c r="W136" s="44"/>
      <c r="X136" s="44"/>
      <c r="Y136" s="41"/>
      <c r="Z136" s="44"/>
      <c r="AA136" s="44"/>
      <c r="AB136" s="41"/>
      <c r="AC136" s="44"/>
      <c r="AD136" s="44"/>
      <c r="AE136" s="41"/>
      <c r="AF136" s="45"/>
      <c r="AG136" s="45"/>
      <c r="AH136" s="46"/>
      <c r="AI136" s="43"/>
      <c r="AJ136" s="43"/>
      <c r="AK136" s="46"/>
      <c r="AL136" s="43"/>
      <c r="AM136" s="43"/>
      <c r="AN136" s="46"/>
      <c r="AO136" s="43"/>
      <c r="AP136" s="43"/>
      <c r="AQ136" s="46"/>
      <c r="AR136" s="43"/>
      <c r="AS136" s="43"/>
      <c r="AT136" s="46"/>
      <c r="AU136" s="42"/>
      <c r="AV136" s="42"/>
      <c r="AW136" s="46"/>
      <c r="AX136" s="43"/>
      <c r="AY136" s="43"/>
      <c r="AZ136" s="46"/>
    </row>
    <row r="137" spans="1:52" x14ac:dyDescent="0.55000000000000004">
      <c r="B137" s="28"/>
      <c r="E137" s="42"/>
      <c r="F137" s="42"/>
      <c r="G137" s="41"/>
      <c r="Q137" s="42"/>
      <c r="R137" s="42"/>
      <c r="S137" s="41"/>
      <c r="T137" s="42">
        <f>SUM(Q135+T135)</f>
        <v>14516285</v>
      </c>
      <c r="U137" s="42">
        <f>SUM(R135+U135)</f>
        <v>5718948</v>
      </c>
      <c r="V137" s="2">
        <f>SUM(U137/T137)</f>
        <v>0.39396774036883403</v>
      </c>
      <c r="W137" s="42">
        <f>SUM(Q135+T135+W135)</f>
        <v>21776045</v>
      </c>
      <c r="X137" s="42">
        <f>SUM(R135+U135+X135)</f>
        <v>8596693</v>
      </c>
      <c r="Y137" s="2">
        <f>SUM(X137/W137)</f>
        <v>0.39477751813977241</v>
      </c>
      <c r="Z137" s="42">
        <f>SUM(Q135+T135+W135+Z135)</f>
        <v>27514925</v>
      </c>
      <c r="AA137" s="42">
        <f>SUM(U135+X135+AA135+R135)</f>
        <v>11193902</v>
      </c>
      <c r="AB137" s="2">
        <f>SUM(AA137/Z137)</f>
        <v>0.40683018398196613</v>
      </c>
      <c r="AC137" s="42">
        <f>SUM(W135+Z135+AC135+Q135+T135)</f>
        <v>34801145</v>
      </c>
      <c r="AD137" s="42">
        <f>SUM(X135+AA135+AD135+U135+R135)</f>
        <v>13746643</v>
      </c>
      <c r="AE137" s="2">
        <f>SUM(AD137/AC137)</f>
        <v>0.39500548042312977</v>
      </c>
      <c r="AF137" s="42">
        <f>SUM(Z135+AC135+AF135+T135+W135+Q135)</f>
        <v>43189975</v>
      </c>
      <c r="AG137" s="42">
        <f>SUM(AA135+AD135+AG135+X135+U135+R135)</f>
        <v>17548811</v>
      </c>
      <c r="AH137" s="2">
        <f>SUM(AG137/AF137)</f>
        <v>0.40631676679599837</v>
      </c>
      <c r="AI137" s="42">
        <f>SUM(T135+Q135+AC135+AF135+AI135+W135+Z135)</f>
        <v>49479035</v>
      </c>
      <c r="AJ137" s="42">
        <f>SUM(U135+R135+AD135+AG135+AJ135+AA135+X135)</f>
        <v>20345083</v>
      </c>
      <c r="AK137" s="2">
        <f>SUM(AJ137/AI137)</f>
        <v>0.41118592955582095</v>
      </c>
      <c r="AL137" s="42">
        <f>SUM(W135+T135+Q135+AF135+AI135+AL135+Z135+AC135)</f>
        <v>60646367</v>
      </c>
      <c r="AM137" s="42">
        <f>SUM(X135+U135+R135+AG135+AJ135+AM135+AD135+AA135)</f>
        <v>24179730</v>
      </c>
      <c r="AN137" s="2">
        <f>SUM(AM137/AL137)</f>
        <v>0.39870038711469724</v>
      </c>
      <c r="AO137" s="42">
        <f>SUM(Z135+W135+T135+Q135+AI135+AL135+AO135+AC135+AF135)</f>
        <v>67470327</v>
      </c>
      <c r="AP137" s="42">
        <f>SUM(AA135+X135+U135+R135+AJ135+AM135+AP135+AG135+AD135)</f>
        <v>26941310</v>
      </c>
      <c r="AQ137" s="2">
        <f>SUM(AP137/AO137)</f>
        <v>0.39930605345961939</v>
      </c>
      <c r="AR137" s="42">
        <f>SUM(AC135+Z135+W135+T135+Q135+AL135+AO135+AR135+AF135+AI135)</f>
        <v>73864767</v>
      </c>
      <c r="AS137" s="42">
        <f>SUM(AD135+AA135+X135+U135+R135+AM135+AP135+AS135+AJ135+AG135)</f>
        <v>29388962</v>
      </c>
      <c r="AT137" s="2">
        <f>SUM(AS137/AR137)</f>
        <v>0.39787524138538199</v>
      </c>
      <c r="AU137" s="42">
        <f>SUM(AF135+AC135+Z135+W135+T135+Q135+AO135+AR135+AU135+AI135+AL135)</f>
        <v>82638797</v>
      </c>
      <c r="AV137" s="42">
        <f>SUM(AG135+AD135+AA135+X135+U135+R135+AP135+AS135+AV135+AM135+AJ135)</f>
        <v>32560188</v>
      </c>
      <c r="AW137" s="2">
        <f>SUM(AV137/AU137)</f>
        <v>0.39400607441078794</v>
      </c>
      <c r="AX137" s="42">
        <f>SUM(AI135+AF135+AC135+Z135+W135+T135+Q135+AR135+AU135+AX135+AL135+AO135)</f>
        <v>90884262</v>
      </c>
      <c r="AY137" s="42">
        <f>SUM(AJ135+AG135+AD135+AA135+X135+U135+R135+AS135+AV135+AY135+AP135+AM135)</f>
        <v>35671996</v>
      </c>
      <c r="AZ137" s="2">
        <f>SUM(AY137/AX137)</f>
        <v>0.39249915458410173</v>
      </c>
    </row>
    <row r="138" spans="1:52" x14ac:dyDescent="0.55000000000000004">
      <c r="Q138" s="42"/>
      <c r="R138" s="42"/>
      <c r="S138" s="41"/>
      <c r="T138" s="43"/>
      <c r="U138" s="43"/>
      <c r="V138" s="41"/>
      <c r="W138" s="44"/>
      <c r="X138" s="44"/>
      <c r="Y138" s="41"/>
      <c r="Z138" s="44"/>
      <c r="AA138" s="44"/>
      <c r="AB138" s="41"/>
      <c r="AC138" s="44"/>
      <c r="AD138" s="44"/>
      <c r="AE138" s="41"/>
      <c r="AF138" s="45"/>
      <c r="AG138" s="45"/>
      <c r="AH138" s="46"/>
      <c r="AI138" s="43"/>
      <c r="AJ138" s="43"/>
      <c r="AK138" s="46"/>
      <c r="AL138" s="43"/>
      <c r="AM138" s="43"/>
      <c r="AN138" s="46"/>
      <c r="AO138" s="43"/>
      <c r="AP138" s="43"/>
      <c r="AQ138" s="46"/>
      <c r="AR138" s="43"/>
      <c r="AS138" s="43"/>
      <c r="AT138" s="46"/>
      <c r="AU138" s="42"/>
      <c r="AV138" s="42"/>
      <c r="AW138" s="46"/>
      <c r="AX138" s="43"/>
      <c r="AY138" s="43"/>
      <c r="AZ138" s="46"/>
    </row>
    <row r="139" spans="1:52" ht="18.5" thickBot="1" x14ac:dyDescent="0.6"/>
    <row r="140" spans="1:52" ht="18.5" thickBot="1" x14ac:dyDescent="0.6">
      <c r="B140" s="28" t="s">
        <v>19</v>
      </c>
      <c r="E140" s="34">
        <v>96279549</v>
      </c>
      <c r="F140" s="35">
        <v>36227553</v>
      </c>
      <c r="G140" s="36">
        <f>F140/E140</f>
        <v>0.37627464374599429</v>
      </c>
    </row>
    <row r="141" spans="1:52" x14ac:dyDescent="0.55000000000000004">
      <c r="B141" s="28"/>
      <c r="E141" s="42"/>
      <c r="F141" s="42"/>
      <c r="G141" s="41"/>
      <c r="Q141" s="1">
        <v>7724887</v>
      </c>
      <c r="R141" s="1">
        <v>2930082</v>
      </c>
      <c r="S141" s="2">
        <v>0.37930418917454717</v>
      </c>
      <c r="T141" s="1">
        <v>6686770</v>
      </c>
      <c r="U141" s="1">
        <v>2620818</v>
      </c>
      <c r="V141" s="2">
        <v>0.39194080251003099</v>
      </c>
      <c r="W141" s="1">
        <v>8696810</v>
      </c>
      <c r="X141" s="1">
        <v>3332626</v>
      </c>
      <c r="Y141" s="2">
        <v>0.38320096679127175</v>
      </c>
      <c r="Z141" s="1">
        <v>5418075</v>
      </c>
      <c r="AA141" s="1">
        <v>2138575</v>
      </c>
      <c r="AB141" s="2">
        <v>0.39471122123632468</v>
      </c>
      <c r="AC141" s="1">
        <v>6380360</v>
      </c>
      <c r="AD141" s="1">
        <v>2238082</v>
      </c>
      <c r="AE141" s="2">
        <v>0.35077675867819369</v>
      </c>
      <c r="AF141" s="1">
        <v>13677780</v>
      </c>
      <c r="AG141" s="1">
        <v>5305503</v>
      </c>
      <c r="AH141" s="18">
        <v>0.3878921140711431</v>
      </c>
      <c r="AI141" s="1">
        <v>6584580</v>
      </c>
      <c r="AJ141" s="1">
        <v>2725855</v>
      </c>
      <c r="AK141" s="18">
        <v>0.41397553070962767</v>
      </c>
      <c r="AL141" s="1">
        <v>5975624</v>
      </c>
      <c r="AM141" s="1">
        <v>2229034</v>
      </c>
      <c r="AN141" s="18">
        <v>0.37302112716596625</v>
      </c>
      <c r="AO141" s="1">
        <v>7749740</v>
      </c>
      <c r="AP141" s="1">
        <v>2799760</v>
      </c>
      <c r="AQ141" s="18">
        <v>0.36127147491399714</v>
      </c>
      <c r="AR141" s="1">
        <v>8499710</v>
      </c>
      <c r="AS141" s="1">
        <v>3176026</v>
      </c>
      <c r="AT141" s="18">
        <v>0.37366286614484495</v>
      </c>
      <c r="AU141" s="1">
        <v>8501048</v>
      </c>
      <c r="AV141" s="1">
        <v>3366671</v>
      </c>
      <c r="AW141" s="18">
        <v>0.39603011299312746</v>
      </c>
      <c r="AX141" s="1">
        <v>10384165</v>
      </c>
      <c r="AY141" s="1">
        <v>3364521</v>
      </c>
      <c r="AZ141" s="18">
        <v>0.32400496332637241</v>
      </c>
    </row>
    <row r="142" spans="1:52" x14ac:dyDescent="0.55000000000000004">
      <c r="B142" s="28"/>
      <c r="E142" s="42"/>
      <c r="F142" s="42"/>
      <c r="G142" s="41"/>
      <c r="Q142" s="42"/>
      <c r="R142" s="42"/>
      <c r="S142" s="41"/>
      <c r="T142" s="42"/>
      <c r="U142" s="42"/>
      <c r="V142" s="41"/>
      <c r="W142" s="42"/>
      <c r="X142" s="42"/>
      <c r="Y142" s="41"/>
      <c r="Z142" s="42"/>
      <c r="AA142" s="42"/>
      <c r="AB142" s="41"/>
      <c r="AC142" s="42"/>
      <c r="AD142" s="42"/>
      <c r="AE142" s="41"/>
      <c r="AF142" s="42"/>
      <c r="AG142" s="42"/>
      <c r="AH142" s="46"/>
      <c r="AI142" s="42"/>
      <c r="AJ142" s="42"/>
      <c r="AK142" s="46"/>
      <c r="AL142" s="42"/>
      <c r="AM142" s="42"/>
      <c r="AN142" s="46"/>
      <c r="AO142" s="42"/>
      <c r="AP142" s="42"/>
      <c r="AQ142" s="46"/>
      <c r="AR142" s="42"/>
      <c r="AS142" s="42"/>
      <c r="AT142" s="46"/>
      <c r="AU142" s="42"/>
      <c r="AV142" s="42"/>
      <c r="AW142" s="46"/>
      <c r="AX142" s="42"/>
      <c r="AY142" s="42"/>
      <c r="AZ142" s="46"/>
    </row>
    <row r="143" spans="1:52" x14ac:dyDescent="0.55000000000000004">
      <c r="B143" s="28"/>
      <c r="E143" s="42"/>
      <c r="F143" s="42"/>
      <c r="G143" s="41"/>
      <c r="Q143" s="42"/>
      <c r="R143" s="42"/>
      <c r="S143" s="41"/>
      <c r="T143" s="42">
        <f>SUM(Q141+T141)</f>
        <v>14411657</v>
      </c>
      <c r="U143" s="42">
        <f>SUM(R141+U141)</f>
        <v>5550900</v>
      </c>
      <c r="V143" s="2">
        <f>SUM(U143/T143)</f>
        <v>0.38516736833245474</v>
      </c>
      <c r="W143" s="42">
        <f>SUM(Q141+T141+W141)</f>
        <v>23108467</v>
      </c>
      <c r="X143" s="42">
        <f>SUM(R141+U141+X141)</f>
        <v>8883526</v>
      </c>
      <c r="Y143" s="2">
        <f>SUM(X143/W143)</f>
        <v>0.38442731835045568</v>
      </c>
      <c r="Z143" s="42">
        <f>SUM(Q141+T141+W141+Z141)</f>
        <v>28526542</v>
      </c>
      <c r="AA143" s="42">
        <f>SUM(U141+X141+AA141+R141)</f>
        <v>11022101</v>
      </c>
      <c r="AB143" s="2">
        <f>SUM(AA143/Z143)</f>
        <v>0.38638055043615172</v>
      </c>
      <c r="AC143" s="42">
        <f>SUM(W141+Z141+AC141+Q141+T141)</f>
        <v>34906902</v>
      </c>
      <c r="AD143" s="42">
        <f>SUM(X141+AA141+AD141+U141+R141)</f>
        <v>13260183</v>
      </c>
      <c r="AE143" s="2">
        <f>SUM(AD143/AC143)</f>
        <v>0.37987281139987733</v>
      </c>
      <c r="AF143" s="42">
        <f>SUM(Z141+AC141+AF141+T141+W141+Q141)</f>
        <v>48584682</v>
      </c>
      <c r="AG143" s="42">
        <f>SUM(AA141+AD141+AG141+X141+U141+R141)</f>
        <v>18565686</v>
      </c>
      <c r="AH143" s="2">
        <f>SUM(AG143/AF143)</f>
        <v>0.38213044185408068</v>
      </c>
      <c r="AI143" s="42">
        <f>SUM(T141+Q141+AC141+AF141+AI141+W141+Z141)</f>
        <v>55169262</v>
      </c>
      <c r="AJ143" s="42">
        <f>SUM(U141+R141+AD141+AG141+AJ141+AA141+X141)</f>
        <v>21291541</v>
      </c>
      <c r="AK143" s="2">
        <f>SUM(AJ143/AI143)</f>
        <v>0.38593122742878089</v>
      </c>
      <c r="AL143" s="42">
        <f>SUM(W141+T141+Q141+AF141+AI141+AL141+Z141+AC141)</f>
        <v>61144886</v>
      </c>
      <c r="AM143" s="42">
        <f>SUM(X141+U141+R141+AG141+AJ141+AM141+AD141+AA141)</f>
        <v>23520575</v>
      </c>
      <c r="AN143" s="2">
        <f>SUM(AM143/AL143)</f>
        <v>0.38466953720381458</v>
      </c>
      <c r="AO143" s="42">
        <f>SUM(Z141+W141+T141+Q141+AI141+AL141+AO141+AC141+AF141)</f>
        <v>68894626</v>
      </c>
      <c r="AP143" s="42">
        <f>SUM(AA141+X141+U141+R141+AJ141+AM141+AP141+AG141+AD141)</f>
        <v>26320335</v>
      </c>
      <c r="AQ143" s="2">
        <f>SUM(AP143/AO143)</f>
        <v>0.38203756269756078</v>
      </c>
      <c r="AR143" s="42">
        <f>SUM(AC141+Z141+W141+T141+Q141+AL141+AO141+AR141+AF141+AI141)</f>
        <v>77394336</v>
      </c>
      <c r="AS143" s="42">
        <f>SUM(AD141+AA141+X141+U141+R141+AM141+AP141+AS141+AJ141+AG141)</f>
        <v>29496361</v>
      </c>
      <c r="AT143" s="2">
        <f>SUM(AS143/AR143)</f>
        <v>0.38111782495297847</v>
      </c>
      <c r="AU143" s="42">
        <f>SUM(AF141+AC141+Z141+W141+T141+Q141+AO141+AR141+AU141+AI141+AL141)</f>
        <v>85895384</v>
      </c>
      <c r="AV143" s="42">
        <f>SUM(AG141+AD141+AA141+X141+U141+R141+AP141+AS141+AV141+AM141+AJ141)</f>
        <v>32863032</v>
      </c>
      <c r="AW143" s="2">
        <f>SUM(AV143/AU143)</f>
        <v>0.38259369094851475</v>
      </c>
      <c r="AX143" s="42">
        <f>SUM(AI141+AF141+AC141+Z141+W141+T141+Q141+AR141+AU141+AX141+AL141+AO141)</f>
        <v>96279549</v>
      </c>
      <c r="AY143" s="42">
        <f>SUM(AJ141+AG141+AD141+AA141+X141+U141+R141+AS141+AV141+AY141+AP141+AM141)</f>
        <v>36227553</v>
      </c>
      <c r="AZ143" s="2">
        <f>SUM(AY143/AX143)</f>
        <v>0.37627464374599429</v>
      </c>
    </row>
    <row r="144" spans="1:52" x14ac:dyDescent="0.55000000000000004">
      <c r="B144" s="28"/>
      <c r="E144" s="42"/>
      <c r="F144" s="42"/>
      <c r="G144" s="41"/>
      <c r="Q144" s="42"/>
      <c r="R144" s="42"/>
      <c r="S144" s="41"/>
      <c r="T144" s="42"/>
      <c r="U144" s="42"/>
      <c r="V144" s="41"/>
      <c r="W144" s="42"/>
      <c r="X144" s="42"/>
      <c r="Y144" s="41"/>
      <c r="Z144" s="42"/>
      <c r="AA144" s="42"/>
      <c r="AB144" s="41"/>
      <c r="AC144" s="42"/>
      <c r="AD144" s="42"/>
      <c r="AE144" s="41"/>
      <c r="AF144" s="42"/>
      <c r="AG144" s="42"/>
      <c r="AH144" s="46"/>
      <c r="AI144" s="42"/>
      <c r="AJ144" s="42"/>
      <c r="AK144" s="46"/>
      <c r="AL144" s="42"/>
      <c r="AM144" s="42"/>
      <c r="AN144" s="46"/>
      <c r="AO144" s="42"/>
      <c r="AP144" s="42"/>
      <c r="AQ144" s="46"/>
      <c r="AR144" s="42"/>
      <c r="AS144" s="42"/>
      <c r="AT144" s="46"/>
      <c r="AU144" s="42"/>
      <c r="AV144" s="42"/>
      <c r="AW144" s="46"/>
      <c r="AX144" s="42"/>
      <c r="AY144" s="42"/>
      <c r="AZ144" s="46"/>
    </row>
    <row r="145" spans="2:52" x14ac:dyDescent="0.55000000000000004">
      <c r="Q145" s="42"/>
      <c r="R145" s="42"/>
      <c r="S145" s="41"/>
      <c r="T145" s="42"/>
      <c r="U145" s="42"/>
      <c r="V145" s="41"/>
      <c r="W145" s="42"/>
      <c r="X145" s="42"/>
      <c r="Y145" s="41"/>
      <c r="Z145" s="42"/>
      <c r="AA145" s="42"/>
      <c r="AB145" s="41"/>
      <c r="AC145" s="42"/>
      <c r="AD145" s="42"/>
      <c r="AE145" s="41"/>
      <c r="AF145" s="42"/>
      <c r="AG145" s="42"/>
      <c r="AH145" s="46"/>
      <c r="AI145" s="42"/>
      <c r="AJ145" s="42"/>
      <c r="AK145" s="46"/>
      <c r="AL145" s="42"/>
      <c r="AM145" s="42"/>
      <c r="AN145" s="46"/>
      <c r="AO145" s="42"/>
      <c r="AP145" s="42"/>
      <c r="AQ145" s="46"/>
      <c r="AR145" s="42"/>
      <c r="AS145" s="42"/>
      <c r="AT145" s="46"/>
      <c r="AU145" s="42"/>
      <c r="AV145" s="42"/>
      <c r="AW145" s="46"/>
      <c r="AX145" s="42"/>
      <c r="AY145" s="42"/>
      <c r="AZ145" s="46"/>
    </row>
    <row r="146" spans="2:52" ht="18.5" thickBot="1" x14ac:dyDescent="0.6"/>
    <row r="147" spans="2:52" ht="18.5" thickBot="1" x14ac:dyDescent="0.6">
      <c r="B147" s="28" t="s">
        <v>20</v>
      </c>
      <c r="E147" s="34">
        <v>82445100</v>
      </c>
      <c r="F147" s="35">
        <v>34896914</v>
      </c>
      <c r="G147" s="36">
        <f>F147/E147</f>
        <v>0.42327456695425197</v>
      </c>
    </row>
    <row r="148" spans="2:52" x14ac:dyDescent="0.55000000000000004">
      <c r="B148" s="28"/>
      <c r="E148" s="42"/>
      <c r="F148" s="42"/>
      <c r="G148" s="41"/>
      <c r="Q148" s="1">
        <v>7448690</v>
      </c>
      <c r="R148" s="1">
        <v>2627563</v>
      </c>
      <c r="S148" s="2">
        <v>0.35275504820310688</v>
      </c>
      <c r="T148" s="1">
        <v>7803110</v>
      </c>
      <c r="U148" s="1">
        <v>2866033</v>
      </c>
      <c r="V148" s="2">
        <v>0.36729368162181492</v>
      </c>
      <c r="W148" s="1">
        <v>6004020</v>
      </c>
      <c r="X148" s="1">
        <v>2138493</v>
      </c>
      <c r="Y148" s="2">
        <v>0.35617686150279315</v>
      </c>
      <c r="Z148" s="1">
        <v>8359120</v>
      </c>
      <c r="AA148" s="1">
        <v>3576600</v>
      </c>
      <c r="AB148" s="2">
        <v>0.42786800524457119</v>
      </c>
      <c r="AC148" s="1">
        <v>5411840</v>
      </c>
      <c r="AD148" s="1">
        <v>2238661</v>
      </c>
      <c r="AE148" s="2">
        <v>0.4136598642975402</v>
      </c>
      <c r="AF148" s="1">
        <v>7917580</v>
      </c>
      <c r="AG148" s="1">
        <v>4591632</v>
      </c>
      <c r="AH148" s="18">
        <v>0.57992871559239056</v>
      </c>
      <c r="AI148" s="1">
        <v>6874660</v>
      </c>
      <c r="AJ148" s="1">
        <v>3103972</v>
      </c>
      <c r="AK148" s="18">
        <v>0.45150916554418691</v>
      </c>
      <c r="AL148" s="1">
        <v>6351830</v>
      </c>
      <c r="AM148" s="1">
        <v>2637829</v>
      </c>
      <c r="AN148" s="18">
        <v>0.41528646075225567</v>
      </c>
      <c r="AO148" s="1">
        <v>5920820</v>
      </c>
      <c r="AP148" s="1">
        <v>2717349</v>
      </c>
      <c r="AQ148" s="18">
        <v>0.45894808489364647</v>
      </c>
      <c r="AR148" s="1">
        <v>6333200</v>
      </c>
      <c r="AS148" s="1">
        <v>2650728</v>
      </c>
      <c r="AT148" s="18">
        <v>0.41854481146971517</v>
      </c>
      <c r="AU148" s="1">
        <v>8934210</v>
      </c>
      <c r="AV148" s="1">
        <v>3684066</v>
      </c>
      <c r="AW148" s="18">
        <v>0.41235498158203132</v>
      </c>
      <c r="AX148" s="1">
        <v>5086020</v>
      </c>
      <c r="AY148" s="1">
        <v>2063988</v>
      </c>
      <c r="AZ148" s="18">
        <v>0.4058159425248033</v>
      </c>
    </row>
    <row r="149" spans="2:52" x14ac:dyDescent="0.55000000000000004">
      <c r="B149" s="28"/>
      <c r="E149" s="42"/>
      <c r="F149" s="42"/>
      <c r="G149" s="41"/>
      <c r="Q149" s="42"/>
      <c r="R149" s="42"/>
      <c r="S149" s="41"/>
      <c r="T149" s="42"/>
      <c r="U149" s="42"/>
      <c r="V149" s="41"/>
      <c r="W149" s="42"/>
      <c r="X149" s="42"/>
      <c r="Y149" s="41"/>
      <c r="Z149" s="42"/>
      <c r="AA149" s="42"/>
      <c r="AB149" s="41"/>
      <c r="AC149" s="42"/>
      <c r="AD149" s="42"/>
      <c r="AE149" s="41"/>
      <c r="AF149" s="42"/>
      <c r="AG149" s="42"/>
      <c r="AH149" s="46"/>
      <c r="AI149" s="42"/>
      <c r="AJ149" s="42"/>
      <c r="AK149" s="46"/>
      <c r="AL149" s="42"/>
      <c r="AM149" s="42"/>
      <c r="AN149" s="46"/>
      <c r="AO149" s="42"/>
      <c r="AP149" s="42"/>
      <c r="AQ149" s="46"/>
      <c r="AR149" s="42"/>
      <c r="AS149" s="42"/>
      <c r="AT149" s="46"/>
      <c r="AU149" s="42"/>
      <c r="AV149" s="42"/>
      <c r="AW149" s="46"/>
      <c r="AX149" s="42"/>
      <c r="AY149" s="42"/>
      <c r="AZ149" s="46"/>
    </row>
    <row r="150" spans="2:52" x14ac:dyDescent="0.55000000000000004">
      <c r="B150" s="28"/>
      <c r="E150" s="42"/>
      <c r="F150" s="42"/>
      <c r="G150" s="41"/>
      <c r="Q150" s="42"/>
      <c r="R150" s="42"/>
      <c r="S150" s="41"/>
      <c r="T150" s="42">
        <f>SUM(Q148+T148)</f>
        <v>15251800</v>
      </c>
      <c r="U150" s="42">
        <f>SUM(R148+U148)</f>
        <v>5493596</v>
      </c>
      <c r="V150" s="2">
        <f>SUM(U150/T150)</f>
        <v>0.36019328866101052</v>
      </c>
      <c r="W150" s="42">
        <f>SUM(Q148+T148+W148)</f>
        <v>21255820</v>
      </c>
      <c r="X150" s="42">
        <f>SUM(R148+U148+X148)</f>
        <v>7632089</v>
      </c>
      <c r="Y150" s="2">
        <f>SUM(X150/W150)</f>
        <v>0.35905878954563974</v>
      </c>
      <c r="Z150" s="42">
        <f>SUM(Q148+T148+W148+Z148)</f>
        <v>29614940</v>
      </c>
      <c r="AA150" s="42">
        <f>SUM(U148+X148+AA148+R148)</f>
        <v>11208689</v>
      </c>
      <c r="AB150" s="2">
        <f>SUM(AA150/Z150)</f>
        <v>0.37848089511577604</v>
      </c>
      <c r="AC150" s="42">
        <f>SUM(W148+Z148+AC148+Q148+T148)</f>
        <v>35026780</v>
      </c>
      <c r="AD150" s="42">
        <f>SUM(X148+AA148+AD148+U148+R148)</f>
        <v>13447350</v>
      </c>
      <c r="AE150" s="2">
        <f>SUM(AD150/AC150)</f>
        <v>0.38391624922416506</v>
      </c>
      <c r="AF150" s="42">
        <f>SUM(Z148+AC148+AF148+T148+W148+Q148)</f>
        <v>42944360</v>
      </c>
      <c r="AG150" s="42">
        <f>SUM(AA148+AD148+AG148+X148+U148+R148)</f>
        <v>18038982</v>
      </c>
      <c r="AH150" s="2">
        <f>SUM(AG150/AF150)</f>
        <v>0.4200547405992312</v>
      </c>
      <c r="AI150" s="42">
        <f>SUM(T148+Q148+AC148+AF148+AI148+W148+Z148)</f>
        <v>49819020</v>
      </c>
      <c r="AJ150" s="42">
        <f>SUM(U148+R148+AD148+AG148+AJ148+AA148+X148)</f>
        <v>21142954</v>
      </c>
      <c r="AK150" s="2">
        <f>SUM(AJ150/AI150)</f>
        <v>0.42439522094172066</v>
      </c>
      <c r="AL150" s="42">
        <f>SUM(W148+T148+Q148+AF148+AI148+AL148+Z148+AC148)</f>
        <v>56170850</v>
      </c>
      <c r="AM150" s="42">
        <f>SUM(X148+U148+R148+AG148+AJ148+AM148+AD148+AA148)</f>
        <v>23780783</v>
      </c>
      <c r="AN150" s="2">
        <f>SUM(AM150/AL150)</f>
        <v>0.42336519742891554</v>
      </c>
      <c r="AO150" s="42">
        <f>SUM(Z148+W148+T148+Q148+AI148+AL148+AO148+AC148+AF148)</f>
        <v>62091670</v>
      </c>
      <c r="AP150" s="42">
        <f>SUM(AA148+X148+U148+R148+AJ148+AM148+AP148+AG148+AD148)</f>
        <v>26498132</v>
      </c>
      <c r="AQ150" s="2">
        <f>SUM(AP150/AO150)</f>
        <v>0.42675824309444405</v>
      </c>
      <c r="AR150" s="42">
        <f>SUM(AC148+Z148+W148+T148+Q148+AL148+AO148+AR148+AF148+AI148)</f>
        <v>68424870</v>
      </c>
      <c r="AS150" s="42">
        <f>SUM(AD148+AA148+X148+U148+R148+AM148+AP148+AS148+AJ148+AG148)</f>
        <v>29148860</v>
      </c>
      <c r="AT150" s="2">
        <f>SUM(AS150/AR150)</f>
        <v>0.42599803258668961</v>
      </c>
      <c r="AU150" s="42">
        <f>SUM(AF148+AC148+Z148+W148+T148+Q148+AO148+AR148+AU148+AI148+AL148)</f>
        <v>77359080</v>
      </c>
      <c r="AV150" s="42">
        <f>SUM(AG148+AD148+AA148+X148+U148+R148+AP148+AS148+AV148+AM148+AJ148)</f>
        <v>32832926</v>
      </c>
      <c r="AW150" s="2">
        <f>SUM(AV150/AU150)</f>
        <v>0.42442239488887407</v>
      </c>
      <c r="AX150" s="42">
        <f>SUM(AI148+AF148+AC148+Z148+W148+T148+Q148+AR148+AU148+AX148+AL148+AO148)</f>
        <v>82445100</v>
      </c>
      <c r="AY150" s="42">
        <f>SUM(AJ148+AG148+AD148+AA148+X148+U148+R148+AS148+AV148+AY148+AP148+AM148)</f>
        <v>34896914</v>
      </c>
      <c r="AZ150" s="2">
        <f>SUM(AY150/AX150)</f>
        <v>0.42327456695425197</v>
      </c>
    </row>
    <row r="151" spans="2:52" x14ac:dyDescent="0.55000000000000004">
      <c r="D151" s="38"/>
      <c r="E151" s="38"/>
      <c r="F151" s="39"/>
      <c r="G151" s="39"/>
      <c r="Q151" s="42"/>
      <c r="R151" s="42"/>
      <c r="S151" s="41"/>
      <c r="T151" s="42"/>
      <c r="U151" s="42"/>
      <c r="W151" s="42"/>
      <c r="X151" s="42"/>
      <c r="Z151" s="42"/>
      <c r="AA151" s="42"/>
      <c r="AC151" s="42"/>
      <c r="AD151" s="42"/>
      <c r="AF151" s="42"/>
      <c r="AG151" s="42"/>
      <c r="AI151" s="42"/>
      <c r="AJ151" s="42"/>
      <c r="AL151" s="42"/>
      <c r="AM151" s="42"/>
      <c r="AO151" s="42"/>
      <c r="AP151" s="42"/>
      <c r="AR151" s="42"/>
      <c r="AS151" s="42"/>
      <c r="AU151" s="42"/>
      <c r="AV151" s="42"/>
      <c r="AX151" s="42"/>
      <c r="AY151" s="42"/>
    </row>
    <row r="152" spans="2:52" x14ac:dyDescent="0.55000000000000004">
      <c r="D152" s="39"/>
      <c r="E152" s="40"/>
      <c r="F152" s="40"/>
      <c r="G152" s="41"/>
    </row>
    <row r="153" spans="2:52" ht="18.5" thickBot="1" x14ac:dyDescent="0.6">
      <c r="D153" s="39"/>
      <c r="E153" s="40"/>
      <c r="F153" s="40"/>
      <c r="G153" s="41"/>
      <c r="H153" s="41"/>
    </row>
    <row r="154" spans="2:52" ht="18.5" thickBot="1" x14ac:dyDescent="0.6">
      <c r="B154" s="28" t="s">
        <v>21</v>
      </c>
      <c r="E154" s="29">
        <f>SUM(Q155+T155+W155+Z155+AC155+AF155+AI155+AL155+AO155+AR155+AU155+AX155)</f>
        <v>59313425</v>
      </c>
      <c r="F154" s="29">
        <f>SUM(R155+U155+X155+AA155+AD155+AG155+AJ155+AM155+AP155+AS155+AV155+AY155)</f>
        <v>25595195</v>
      </c>
      <c r="G154" s="30">
        <f>F154/E154</f>
        <v>0.43152448202072297</v>
      </c>
    </row>
    <row r="155" spans="2:52" x14ac:dyDescent="0.55000000000000004">
      <c r="F155" t="s">
        <v>40</v>
      </c>
      <c r="G155">
        <f>SUM(S156+V156+Y156+AB156+AE156+AH156+AK156+AN156+AQ156+AT156+AW156+AZ156)</f>
        <v>1305</v>
      </c>
      <c r="Q155" s="1">
        <v>6234000</v>
      </c>
      <c r="R155" s="1">
        <v>2448535</v>
      </c>
      <c r="S155" s="2">
        <f>R155/Q155</f>
        <v>0.39277109400064164</v>
      </c>
      <c r="T155" s="1">
        <v>9625320</v>
      </c>
      <c r="U155" s="1">
        <v>4127116</v>
      </c>
      <c r="V155" s="2">
        <f>U155/T155</f>
        <v>0.4287770172835812</v>
      </c>
      <c r="W155" s="1">
        <v>6311690</v>
      </c>
      <c r="X155" s="1">
        <v>2466980</v>
      </c>
      <c r="Y155" s="2">
        <f>X155/W155</f>
        <v>0.39085886664268998</v>
      </c>
      <c r="Z155" s="1">
        <v>6017070</v>
      </c>
      <c r="AA155" s="1">
        <v>2711214</v>
      </c>
      <c r="AB155" s="2">
        <f>AA155/Z155</f>
        <v>0.45058707975808826</v>
      </c>
      <c r="AC155" s="1">
        <v>4621880</v>
      </c>
      <c r="AD155" s="1">
        <v>1878239</v>
      </c>
      <c r="AE155" s="2">
        <f>AD155/AC155</f>
        <v>0.40637987139432441</v>
      </c>
      <c r="AF155" s="1">
        <v>6608045</v>
      </c>
      <c r="AG155" s="1">
        <v>3231428</v>
      </c>
      <c r="AH155" s="2">
        <f>AG155/AF155</f>
        <v>0.48901422432807284</v>
      </c>
      <c r="AI155" s="31">
        <v>7270980</v>
      </c>
      <c r="AJ155" s="31">
        <v>3634054</v>
      </c>
      <c r="AK155" s="2">
        <f>AJ155/AI155</f>
        <v>0.49980250255123793</v>
      </c>
      <c r="AL155" s="32">
        <v>5309910</v>
      </c>
      <c r="AM155" s="32">
        <v>2115804</v>
      </c>
      <c r="AN155" s="2">
        <f>AM155/AL155</f>
        <v>0.39846325078956141</v>
      </c>
      <c r="AO155" s="1">
        <v>7314530</v>
      </c>
      <c r="AP155" s="1">
        <v>2981825</v>
      </c>
      <c r="AQ155" s="2">
        <f>AP155/AO155</f>
        <v>0.4076577715861443</v>
      </c>
      <c r="AR155" s="32"/>
      <c r="AS155" s="32"/>
      <c r="AT155" s="2" t="e">
        <f>AS155/AR155</f>
        <v>#DIV/0!</v>
      </c>
      <c r="AU155" s="32"/>
      <c r="AV155" s="32"/>
      <c r="AW155" s="2" t="e">
        <f>AV155/AU155</f>
        <v>#DIV/0!</v>
      </c>
      <c r="AX155" s="32"/>
      <c r="AY155" s="32"/>
      <c r="AZ155" s="2" t="e">
        <f>AY155/AX155</f>
        <v>#DIV/0!</v>
      </c>
    </row>
    <row r="156" spans="2:52" x14ac:dyDescent="0.55000000000000004">
      <c r="Q156" s="33"/>
      <c r="R156" s="33"/>
      <c r="S156" s="33">
        <v>148</v>
      </c>
      <c r="T156" s="33"/>
      <c r="U156" s="33"/>
      <c r="V156" s="33">
        <v>152</v>
      </c>
      <c r="W156" s="33"/>
      <c r="X156" s="33"/>
      <c r="Y156" s="33">
        <v>130</v>
      </c>
      <c r="Z156" s="33"/>
      <c r="AA156" s="33"/>
      <c r="AB156" s="33">
        <v>138</v>
      </c>
      <c r="AC156" s="33"/>
      <c r="AD156" s="33"/>
      <c r="AE156" s="33">
        <v>162</v>
      </c>
      <c r="AF156" s="33"/>
      <c r="AG156" s="33"/>
      <c r="AH156" s="33">
        <v>113</v>
      </c>
      <c r="AI156" s="33"/>
      <c r="AJ156" s="33"/>
      <c r="AK156" s="33">
        <v>156</v>
      </c>
      <c r="AN156">
        <v>153</v>
      </c>
      <c r="AQ156">
        <v>153</v>
      </c>
    </row>
    <row r="157" spans="2:52" x14ac:dyDescent="0.55000000000000004">
      <c r="D157" s="38"/>
      <c r="E157" s="38" t="s">
        <v>43</v>
      </c>
      <c r="F157" s="39" t="s">
        <v>44</v>
      </c>
      <c r="G157" s="39" t="s">
        <v>45</v>
      </c>
      <c r="Q157" s="33"/>
      <c r="R157" s="33"/>
      <c r="S157" s="33"/>
      <c r="T157" s="42">
        <f>SUM(Q155+T155)</f>
        <v>15859320</v>
      </c>
      <c r="U157" s="42">
        <f>SUM(R155+U155)</f>
        <v>6575651</v>
      </c>
      <c r="V157" s="2">
        <f>SUM(U157/T157)</f>
        <v>0.41462376697109332</v>
      </c>
      <c r="W157" s="42">
        <f>SUM(Q155+T155+W155)</f>
        <v>22171010</v>
      </c>
      <c r="X157" s="42">
        <f>SUM(R155+U155+X155)</f>
        <v>9042631</v>
      </c>
      <c r="Y157" s="2">
        <f>SUM(X157/W157)</f>
        <v>0.40785832490265439</v>
      </c>
      <c r="Z157" s="42">
        <f>SUM(Q155+T155+W155+Z155)</f>
        <v>28188080</v>
      </c>
      <c r="AA157" s="42">
        <f>SUM(U155+X155+AA155+R155)</f>
        <v>11753845</v>
      </c>
      <c r="AB157" s="2">
        <f>SUM(AA157/Z157)</f>
        <v>0.41697926925139989</v>
      </c>
      <c r="AC157" s="42">
        <f>SUM(W155+Z155+AC155+Q155+T155)</f>
        <v>32809960</v>
      </c>
      <c r="AD157" s="42">
        <f>SUM(X155+AA155+AD155+U155+R155)</f>
        <v>13632084</v>
      </c>
      <c r="AE157" s="2">
        <f>SUM(AD157/AC157)</f>
        <v>0.41548615115653903</v>
      </c>
      <c r="AF157" s="42">
        <f>SUM(Z155+AC155+AF155+T155+W155+Q155)</f>
        <v>39418005</v>
      </c>
      <c r="AG157" s="42">
        <f>SUM(AA155+AD155+AG155+X155+U155+R155)</f>
        <v>16863512</v>
      </c>
      <c r="AH157" s="2">
        <f>SUM(AG157/AF157)</f>
        <v>0.42781241719361496</v>
      </c>
      <c r="AI157" s="42">
        <f>SUM(T155+Q155+AC155+AF155+AI155+W155+Z155)</f>
        <v>46688985</v>
      </c>
      <c r="AJ157" s="42">
        <f>SUM(U155+R155+AD155+AG155+AJ155+AA155+X155)</f>
        <v>20497566</v>
      </c>
      <c r="AK157" s="2">
        <f>SUM(AJ157/AI157)</f>
        <v>0.43902359410897451</v>
      </c>
      <c r="AL157" s="42">
        <f>SUM(W155+T155+Q155+AF155+AI155+AL155+Z155+AC155)</f>
        <v>51998895</v>
      </c>
      <c r="AM157" s="42">
        <f>SUM(X155+U155+R155+AG155+AJ155+AM155+AD155+AA155)</f>
        <v>22613370</v>
      </c>
      <c r="AN157" s="2">
        <f>SUM(AM157/AL157)</f>
        <v>0.4348817412370013</v>
      </c>
      <c r="AO157" s="42">
        <f>SUM(Z155+W155+T155+Q155+AI155+AL155+AO155+AC155+AF155)</f>
        <v>59313425</v>
      </c>
      <c r="AP157" s="42">
        <f>SUM(AA155+X155+U155+R155+AJ155+AM155+AP155+AG155+AD155)</f>
        <v>25595195</v>
      </c>
      <c r="AQ157" s="2">
        <f>SUM(AP157/AO157)</f>
        <v>0.43152448202072297</v>
      </c>
      <c r="AR157" s="42">
        <f>SUM(AC155+Z155+W155+T155+Q155+AL155+AO155+AR155+AF155+AI155)</f>
        <v>59313425</v>
      </c>
      <c r="AS157" s="42">
        <f>SUM(AD155+AA155+X155+U155+R155+AM155+AP155+AS155+AJ155+AG155)</f>
        <v>25595195</v>
      </c>
      <c r="AT157" s="2">
        <f>SUM(AS157/AR157)</f>
        <v>0.43152448202072297</v>
      </c>
      <c r="AU157" s="42">
        <f>SUM(AF155+AC155+Z155+W155+T155+Q155+AO155+AR155+AU155+AI155+AL155)</f>
        <v>59313425</v>
      </c>
      <c r="AV157" s="42">
        <f>SUM(AG155+AD155+AA155+X155+U155+R155+AP155+AS155+AV155+AM155+AJ155)</f>
        <v>25595195</v>
      </c>
      <c r="AW157" s="2">
        <f>SUM(AV157/AU157)</f>
        <v>0.43152448202072297</v>
      </c>
      <c r="AX157" s="42">
        <f>SUM(AI155+AF155+AC155+Z155+W155+T155+Q155+AR155+AU155+AX155+AL155+AO155)</f>
        <v>59313425</v>
      </c>
      <c r="AY157" s="42">
        <f>SUM(AJ155+AG155+AD155+AA155+X155+U155+R155+AS155+AV155+AY155+AP155+AM155)</f>
        <v>25595195</v>
      </c>
      <c r="AZ157" s="2">
        <f>SUM(AY157/AX157)</f>
        <v>0.43152448202072297</v>
      </c>
    </row>
    <row r="158" spans="2:52" x14ac:dyDescent="0.55000000000000004">
      <c r="D158" s="39" t="s">
        <v>41</v>
      </c>
      <c r="E158" s="40">
        <v>50000000</v>
      </c>
      <c r="F158" s="40">
        <v>14500000</v>
      </c>
      <c r="G158" s="41">
        <f>F158/E158</f>
        <v>0.28999999999999998</v>
      </c>
      <c r="Q158" s="33"/>
      <c r="R158" s="33"/>
      <c r="S158" s="33"/>
      <c r="T158" s="33"/>
      <c r="U158" s="33"/>
      <c r="V158">
        <f>SUM(S156+V156)</f>
        <v>300</v>
      </c>
      <c r="W158" s="42"/>
      <c r="X158" s="42"/>
      <c r="Y158">
        <f>SUM(S156+V156+Y156)</f>
        <v>430</v>
      </c>
      <c r="Z158" s="42"/>
      <c r="AA158" s="42"/>
      <c r="AB158">
        <f>SUM(V156+S156+Y156+AB156)</f>
        <v>568</v>
      </c>
      <c r="AC158" s="42"/>
      <c r="AD158" s="42"/>
      <c r="AE158">
        <f>SUM(Y156+V156+S156+AB156+AE156)</f>
        <v>730</v>
      </c>
      <c r="AF158" s="42"/>
      <c r="AG158" s="42"/>
      <c r="AH158">
        <f>SUM(AB156+Y156+V156+S156+AE156+AH156)</f>
        <v>843</v>
      </c>
      <c r="AI158" s="42"/>
      <c r="AJ158" s="42"/>
      <c r="AK158">
        <f>SUM(AE156+AB156+Y156+V156+S156+AH156+AK156)</f>
        <v>999</v>
      </c>
      <c r="AL158" s="42"/>
      <c r="AM158" s="42"/>
      <c r="AN158">
        <f>SUM(AH156+AE156+AB156+Y156+V156+S156+AK156+AN156)</f>
        <v>1152</v>
      </c>
      <c r="AO158" s="42"/>
      <c r="AP158" s="42"/>
      <c r="AQ158">
        <f>SUM(AK156+AH156+AE156+AB156+Y156+V156+S156+AN156+AQ156)</f>
        <v>1305</v>
      </c>
      <c r="AR158" s="42"/>
      <c r="AS158" s="42"/>
      <c r="AT158">
        <f>SUM(AN156+AK156+AH156+AE156+AB156+Y156+V156+S156+AQ156+AT156)</f>
        <v>1305</v>
      </c>
      <c r="AU158" s="42"/>
      <c r="AV158" s="42"/>
      <c r="AW158">
        <f>SUM(AQ156+AN156+AK156+AH156+AE156+AB156+Y156+V156+S156+AT156+AW156)</f>
        <v>1305</v>
      </c>
      <c r="AX158" s="42"/>
      <c r="AY158" s="42"/>
      <c r="AZ158">
        <f>SUM(AT156+AQ156+AN156+AK156+AH156+AE156+AB156+Y156+V156+S156+AW156+AZ156)</f>
        <v>1305</v>
      </c>
    </row>
    <row r="159" spans="2:52" x14ac:dyDescent="0.55000000000000004">
      <c r="D159" s="39" t="s">
        <v>42</v>
      </c>
      <c r="E159" s="40">
        <v>45000000</v>
      </c>
      <c r="F159" s="40">
        <v>27000000</v>
      </c>
      <c r="G159" s="41">
        <f>F159/E159</f>
        <v>0.6</v>
      </c>
      <c r="H159" s="41">
        <v>0.44500000000000001</v>
      </c>
      <c r="I159" s="33"/>
      <c r="J159" s="33"/>
      <c r="K159" s="33"/>
      <c r="L159" s="33"/>
      <c r="M159" s="33"/>
      <c r="N159" s="33"/>
      <c r="O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47" t="s">
        <v>46</v>
      </c>
      <c r="AD159" s="33"/>
      <c r="AE159" s="33"/>
      <c r="AF159" s="33"/>
      <c r="AG159" s="33"/>
      <c r="AH159" s="33"/>
      <c r="AI159" s="33"/>
      <c r="AJ159" s="33"/>
      <c r="AK159" s="33"/>
    </row>
    <row r="160" spans="2:52" x14ac:dyDescent="0.55000000000000004"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spans="1:82" x14ac:dyDescent="0.55000000000000004"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3" spans="1:82" ht="18.5" thickBot="1" x14ac:dyDescent="0.6"/>
    <row r="164" spans="1:82" ht="30" customHeight="1" x14ac:dyDescent="0.55000000000000004">
      <c r="A164" s="65" t="s">
        <v>37</v>
      </c>
      <c r="B164" s="66"/>
    </row>
    <row r="165" spans="1:82" ht="30" customHeight="1" thickBot="1" x14ac:dyDescent="0.6">
      <c r="A165" s="67"/>
      <c r="B165" s="68"/>
      <c r="I165" s="3" t="s">
        <v>4</v>
      </c>
      <c r="J165" s="4"/>
      <c r="K165" s="5"/>
      <c r="L165" s="3" t="s">
        <v>5</v>
      </c>
      <c r="M165" s="4"/>
      <c r="N165" s="5"/>
      <c r="O165" s="6" t="s">
        <v>6</v>
      </c>
      <c r="P165" s="7"/>
      <c r="Q165" s="5"/>
      <c r="R165" s="3" t="s">
        <v>7</v>
      </c>
      <c r="S165" s="4"/>
      <c r="T165" s="5"/>
      <c r="U165" s="6" t="s">
        <v>8</v>
      </c>
      <c r="V165" s="7"/>
      <c r="W165" s="5"/>
      <c r="X165" s="3" t="s">
        <v>9</v>
      </c>
      <c r="Y165" s="4"/>
      <c r="Z165" s="5"/>
      <c r="AA165" s="3" t="s">
        <v>10</v>
      </c>
      <c r="AB165" s="4"/>
      <c r="AC165" s="5"/>
      <c r="AD165" s="3" t="s">
        <v>11</v>
      </c>
      <c r="AE165" s="4"/>
      <c r="AF165" s="5"/>
      <c r="AG165" s="3" t="s">
        <v>12</v>
      </c>
      <c r="AH165" s="4"/>
      <c r="AI165" s="5"/>
      <c r="AJ165" s="3" t="s">
        <v>13</v>
      </c>
      <c r="AK165" s="4"/>
      <c r="AL165" s="5"/>
      <c r="AM165" s="3" t="s">
        <v>14</v>
      </c>
      <c r="AN165" s="4"/>
      <c r="AO165" s="5"/>
      <c r="AP165" s="3" t="s">
        <v>15</v>
      </c>
      <c r="AQ165" s="4"/>
      <c r="AR165" s="5"/>
    </row>
    <row r="166" spans="1:82" x14ac:dyDescent="0.55000000000000004">
      <c r="B166" s="28" t="s">
        <v>18</v>
      </c>
      <c r="E166" s="37"/>
      <c r="F166" s="37"/>
      <c r="G166" s="37"/>
      <c r="I166" s="8" t="s">
        <v>16</v>
      </c>
      <c r="J166" s="8" t="s">
        <v>17</v>
      </c>
      <c r="K166" s="9" t="s">
        <v>3</v>
      </c>
      <c r="L166" s="8" t="s">
        <v>16</v>
      </c>
      <c r="M166" s="8" t="s">
        <v>17</v>
      </c>
      <c r="N166" s="9" t="s">
        <v>3</v>
      </c>
      <c r="O166" s="10" t="s">
        <v>16</v>
      </c>
      <c r="P166" s="10" t="s">
        <v>17</v>
      </c>
      <c r="Q166" s="9" t="s">
        <v>3</v>
      </c>
      <c r="R166" s="11" t="s">
        <v>16</v>
      </c>
      <c r="S166" s="11" t="s">
        <v>17</v>
      </c>
      <c r="T166" s="9" t="s">
        <v>3</v>
      </c>
      <c r="U166" s="10" t="s">
        <v>16</v>
      </c>
      <c r="V166" s="10" t="s">
        <v>17</v>
      </c>
      <c r="W166" s="9" t="s">
        <v>3</v>
      </c>
      <c r="X166" s="8" t="s">
        <v>16</v>
      </c>
      <c r="Y166" s="8" t="s">
        <v>17</v>
      </c>
      <c r="Z166" s="9" t="s">
        <v>3</v>
      </c>
      <c r="AA166" s="8" t="s">
        <v>16</v>
      </c>
      <c r="AB166" s="8" t="s">
        <v>17</v>
      </c>
      <c r="AC166" s="9" t="s">
        <v>3</v>
      </c>
      <c r="AD166" s="8" t="s">
        <v>16</v>
      </c>
      <c r="AE166" s="8" t="s">
        <v>17</v>
      </c>
      <c r="AF166" s="9" t="s">
        <v>3</v>
      </c>
      <c r="AG166" s="8" t="s">
        <v>16</v>
      </c>
      <c r="AH166" s="8" t="s">
        <v>17</v>
      </c>
      <c r="AI166" s="9" t="s">
        <v>3</v>
      </c>
      <c r="AJ166" s="8" t="s">
        <v>16</v>
      </c>
      <c r="AK166" s="8" t="s">
        <v>17</v>
      </c>
      <c r="AL166" s="9" t="s">
        <v>3</v>
      </c>
      <c r="AM166" s="8" t="s">
        <v>16</v>
      </c>
      <c r="AN166" s="8" t="s">
        <v>17</v>
      </c>
      <c r="AO166" s="9" t="s">
        <v>3</v>
      </c>
      <c r="AP166" s="8" t="s">
        <v>16</v>
      </c>
      <c r="AQ166" s="8" t="s">
        <v>17</v>
      </c>
      <c r="AR166" s="9" t="s">
        <v>3</v>
      </c>
    </row>
    <row r="167" spans="1:82" x14ac:dyDescent="0.55000000000000004">
      <c r="E167" s="32" t="s">
        <v>38</v>
      </c>
      <c r="F167" s="32" t="s">
        <v>39</v>
      </c>
      <c r="G167" s="32"/>
      <c r="I167" s="12"/>
      <c r="J167" s="13"/>
      <c r="K167" s="14"/>
      <c r="L167" s="12"/>
      <c r="M167" s="13"/>
      <c r="N167" s="14"/>
      <c r="O167" s="12"/>
      <c r="P167" s="13"/>
      <c r="Q167" s="14"/>
      <c r="R167" s="12"/>
      <c r="S167" s="13"/>
      <c r="T167" s="14"/>
      <c r="U167" s="12"/>
      <c r="V167" s="13"/>
      <c r="W167" s="14"/>
      <c r="X167" s="12"/>
      <c r="Y167" s="13"/>
      <c r="Z167" s="14"/>
      <c r="AA167" s="12"/>
      <c r="AB167" s="13"/>
      <c r="AC167" s="14"/>
      <c r="AD167" s="12"/>
      <c r="AE167" s="13"/>
      <c r="AF167" s="14"/>
      <c r="AG167" s="12"/>
      <c r="AH167" s="13"/>
      <c r="AI167" s="14"/>
      <c r="AJ167" s="12"/>
      <c r="AK167" s="13"/>
      <c r="AL167" s="14"/>
      <c r="AM167" s="12"/>
      <c r="AN167" s="13"/>
      <c r="AO167" s="14"/>
      <c r="AP167" s="12"/>
      <c r="AQ167" s="13"/>
      <c r="AR167" s="14"/>
    </row>
    <row r="168" spans="1:82" x14ac:dyDescent="0.55000000000000004">
      <c r="E168" s="1">
        <f>SUM(I168+L168+O168+R168+U168+X168+AA168+AD168+AG168+AJ168+AM168+AP168)</f>
        <v>52285679.333333328</v>
      </c>
      <c r="F168" s="1">
        <f>SUM(J168+M168+P168+S168+V168+Y168+AB168+AE168+AH168+AK168+AN168+AQ168)</f>
        <v>17755934.666666668</v>
      </c>
      <c r="G168" s="2">
        <f>SUM(F168/E168)</f>
        <v>0.33959460588564733</v>
      </c>
      <c r="I168" s="1">
        <v>4089350</v>
      </c>
      <c r="J168" s="1">
        <v>1518050</v>
      </c>
      <c r="K168" s="2">
        <f>SUM(J168/I168)</f>
        <v>0.37122036509469719</v>
      </c>
      <c r="L168" s="15">
        <v>1964600</v>
      </c>
      <c r="M168" s="15">
        <v>724499.33333333337</v>
      </c>
      <c r="N168" s="2">
        <f>SUM(M168/L168)</f>
        <v>0.36877701991923717</v>
      </c>
      <c r="O168" s="16">
        <v>4544099.333333333</v>
      </c>
      <c r="P168" s="16">
        <v>1707299.3333333333</v>
      </c>
      <c r="Q168" s="2">
        <f>SUM(P168/O168)</f>
        <v>0.37571787236458593</v>
      </c>
      <c r="R168" s="16">
        <v>3249030</v>
      </c>
      <c r="S168" s="16">
        <v>1140529</v>
      </c>
      <c r="T168" s="2">
        <f>SUM(S168/R168)</f>
        <v>0.35103677097472169</v>
      </c>
      <c r="U168" s="16">
        <v>1900570</v>
      </c>
      <c r="V168" s="16">
        <v>591220</v>
      </c>
      <c r="W168" s="2">
        <f>SUM(V168/U168)</f>
        <v>0.31107509852307463</v>
      </c>
      <c r="X168" s="17">
        <v>3490330</v>
      </c>
      <c r="Y168" s="17">
        <v>1162425</v>
      </c>
      <c r="Z168" s="2">
        <f>SUM(Y168/X168)</f>
        <v>0.33304157486541386</v>
      </c>
      <c r="AA168" s="15">
        <v>7055400</v>
      </c>
      <c r="AB168" s="15">
        <v>2206035</v>
      </c>
      <c r="AC168" s="2">
        <f>SUM(AB168/AA168)</f>
        <v>0.31267327153669527</v>
      </c>
      <c r="AD168" s="15">
        <v>4585300</v>
      </c>
      <c r="AE168" s="15">
        <v>1493456</v>
      </c>
      <c r="AF168" s="2">
        <f>SUM(AE168/AD168)</f>
        <v>0.32570518831919393</v>
      </c>
      <c r="AG168" s="15">
        <v>3512800</v>
      </c>
      <c r="AH168" s="15">
        <v>1203160</v>
      </c>
      <c r="AI168" s="2">
        <f>SUM(AH168/AG168)</f>
        <v>0.34250740150307446</v>
      </c>
      <c r="AJ168" s="31">
        <v>7987200</v>
      </c>
      <c r="AK168" s="31">
        <v>2984031</v>
      </c>
      <c r="AL168" s="2">
        <f>SUM(AK168/AJ168)</f>
        <v>0.37360163762019233</v>
      </c>
      <c r="AM168" s="1">
        <v>7699100</v>
      </c>
      <c r="AN168" s="1">
        <v>2294265</v>
      </c>
      <c r="AO168" s="2">
        <f>SUM(AN168/AM168)</f>
        <v>0.29799132366120717</v>
      </c>
      <c r="AP168" s="15">
        <v>2207900</v>
      </c>
      <c r="AQ168" s="15">
        <v>730965</v>
      </c>
      <c r="AR168" s="2">
        <f>SUM(AQ168/AP168)</f>
        <v>0.33106798315141084</v>
      </c>
    </row>
    <row r="169" spans="1:82" x14ac:dyDescent="0.55000000000000004">
      <c r="F169" t="s">
        <v>40</v>
      </c>
      <c r="G169">
        <f>SUM(K169+N169+Q169+T169+W169+Z169+AC169+AF169+AI169+AL169+AO169+AR169)</f>
        <v>119</v>
      </c>
      <c r="K169">
        <v>9</v>
      </c>
      <c r="N169">
        <v>9</v>
      </c>
      <c r="Q169">
        <v>12</v>
      </c>
      <c r="T169">
        <v>12</v>
      </c>
      <c r="W169">
        <v>7</v>
      </c>
      <c r="Z169">
        <v>9</v>
      </c>
      <c r="AC169">
        <v>11</v>
      </c>
      <c r="AF169">
        <v>10</v>
      </c>
      <c r="AI169">
        <v>6</v>
      </c>
      <c r="AL169">
        <v>11</v>
      </c>
      <c r="AO169">
        <v>13</v>
      </c>
      <c r="AR169">
        <v>10</v>
      </c>
    </row>
    <row r="170" spans="1:82" x14ac:dyDescent="0.55000000000000004">
      <c r="L170" s="42">
        <f>SUM(I168+L168)</f>
        <v>6053950</v>
      </c>
      <c r="M170" s="42">
        <f>SUM(J168+M168)</f>
        <v>2242549.3333333335</v>
      </c>
      <c r="N170" s="2">
        <f>SUM(M170/L170)</f>
        <v>0.37042746196009768</v>
      </c>
      <c r="O170" s="42">
        <f>SUM(I168+L168+O168)</f>
        <v>10598049.333333332</v>
      </c>
      <c r="P170" s="42">
        <f>SUM(J168+M168+P168)</f>
        <v>3949848.666666667</v>
      </c>
      <c r="Q170" s="2">
        <f>SUM(P170/O170)</f>
        <v>0.37269581811093044</v>
      </c>
      <c r="R170" s="42">
        <f>SUM(I168+L168+O168+R168)</f>
        <v>13847079.333333332</v>
      </c>
      <c r="S170" s="42">
        <f>SUM(M168+P168+S168+J168)</f>
        <v>5090377.666666666</v>
      </c>
      <c r="T170" s="2">
        <f>SUM(S170/R170)</f>
        <v>0.36761381545730532</v>
      </c>
      <c r="U170" s="42">
        <f>SUM(O168+R168+U168+I168+L168)</f>
        <v>15747649.333333332</v>
      </c>
      <c r="V170" s="42">
        <f>SUM(P168+S168+V168+M168+J168)</f>
        <v>5681597.666666666</v>
      </c>
      <c r="W170" s="2">
        <f>SUM(V170/U170)</f>
        <v>0.36079020724955607</v>
      </c>
      <c r="X170" s="42">
        <f>SUM(R168+U168+X168+L168+O168+I168)</f>
        <v>19237979.333333332</v>
      </c>
      <c r="Y170" s="42">
        <f>SUM(S168+V168+Y168+P168+M168+J168)</f>
        <v>6844022.666666666</v>
      </c>
      <c r="Z170" s="2">
        <f>SUM(Y170/X170)</f>
        <v>0.35575579680596392</v>
      </c>
      <c r="AA170" s="42">
        <f>SUM(L168+I168+U168+X168+AA168+O168+R168)</f>
        <v>26293379.333333332</v>
      </c>
      <c r="AB170" s="42">
        <f>SUM(M168+J168+V168+Y168+AB168+S168+P168)</f>
        <v>9050057.6666666679</v>
      </c>
      <c r="AC170" s="2">
        <f>SUM(AB170/AA170)</f>
        <v>0.34419530300517481</v>
      </c>
      <c r="AD170" s="42">
        <f>SUM(O168+L168+I168+X168+AA168+AD168+R168+U168)</f>
        <v>30878679.333333332</v>
      </c>
      <c r="AE170" s="42">
        <f>SUM(P168+M168+J168+Y168+AB168+AE168+V168+S168)</f>
        <v>10543513.666666666</v>
      </c>
      <c r="AF170" s="2">
        <f>SUM(AE170/AD170)</f>
        <v>0.34144963108202014</v>
      </c>
      <c r="AG170" s="42">
        <f>SUM(R168+O168+L168+I168+AA168+AD168+AG168+U168+X168)</f>
        <v>34391479.333333328</v>
      </c>
      <c r="AH170" s="42">
        <f>SUM(S168+P168+M168+J168+AB168+AE168+AH168+Y168+V168)</f>
        <v>11746673.666666666</v>
      </c>
      <c r="AI170" s="2">
        <f>SUM(AH170/AG170)</f>
        <v>0.34155767342294613</v>
      </c>
      <c r="AJ170" s="42">
        <f>SUM(U168+R168+O168+L168+I168+AD168+AG168+AJ168+X168+AA168)</f>
        <v>42378679.333333328</v>
      </c>
      <c r="AK170" s="42">
        <f>SUM(V168+S168+P168+M168+J168+AE168+AH168+AK168+AB168+Y168)</f>
        <v>14730704.666666666</v>
      </c>
      <c r="AL170" s="2">
        <f>SUM(AK170/AJ170)</f>
        <v>0.34759706763868164</v>
      </c>
      <c r="AM170" s="42">
        <f>SUM(X168+U168+R168+O168+L168+I168+AG168+AJ168+AM168+AA168+AD168)</f>
        <v>50077779.333333328</v>
      </c>
      <c r="AN170" s="42">
        <f>SUM(Y168+V168+S168+P168+M168+J168+AH168+AK168+AN168+AE168+AB168)</f>
        <v>17024969.666666664</v>
      </c>
      <c r="AO170" s="2">
        <f>SUM(AN170/AM170)</f>
        <v>0.33997053969472474</v>
      </c>
      <c r="AP170" s="42">
        <f>SUM(AA168+X168+U168+R168+O168+L168+I168+AJ168+AM168+AP168+AD168+AG168)</f>
        <v>52285679.333333328</v>
      </c>
      <c r="AQ170" s="42">
        <f>SUM(AB168+Y168+V168+S168+P168+M168+J168+AK168+AN168+AQ168+AH168+AE168)</f>
        <v>17755934.666666664</v>
      </c>
      <c r="AR170" s="2">
        <f>SUM(AQ170/AP170)</f>
        <v>0.33959460588564727</v>
      </c>
    </row>
    <row r="171" spans="1:82" x14ac:dyDescent="0.55000000000000004">
      <c r="L171" s="42"/>
      <c r="M171" s="42"/>
      <c r="N171">
        <f>SUM(K169+N169)</f>
        <v>18</v>
      </c>
      <c r="O171" s="42"/>
      <c r="P171" s="42"/>
      <c r="Q171">
        <f>SUM(K169+N169+Q169)</f>
        <v>30</v>
      </c>
      <c r="R171" s="42"/>
      <c r="S171" s="42"/>
      <c r="T171">
        <f>SUM(N169+K169+Q169+T169)</f>
        <v>42</v>
      </c>
      <c r="U171" s="42"/>
      <c r="V171" s="42"/>
      <c r="W171">
        <f>SUM(Q169+N169+K169+T169+W169)</f>
        <v>49</v>
      </c>
      <c r="X171" s="42"/>
      <c r="Y171" s="42"/>
      <c r="Z171">
        <f>SUM(T169+Q169+N169+K169+W169+Z169)</f>
        <v>58</v>
      </c>
      <c r="AA171" s="42"/>
      <c r="AB171" s="42"/>
      <c r="AC171">
        <f>SUM(W169+T169+Q169+N169+K169+Z169+AC169)</f>
        <v>69</v>
      </c>
      <c r="AD171" s="42"/>
      <c r="AE171" s="42"/>
      <c r="AF171">
        <f>SUM(Z169+W169+T169+Q169+N169+K169+AC169+AF169)</f>
        <v>79</v>
      </c>
      <c r="AG171" s="42"/>
      <c r="AH171" s="42"/>
      <c r="AI171">
        <f>SUM(AC169+Z169+W169+T169+Q169+N169+K169+AF169+AI169)</f>
        <v>85</v>
      </c>
      <c r="AJ171" s="42"/>
      <c r="AK171" s="42"/>
      <c r="AL171">
        <f>SUM(AF169+AC169+Z169+W169+T169+Q169+N169+K169+AI169+AL169)</f>
        <v>96</v>
      </c>
      <c r="AM171" s="42"/>
      <c r="AN171" s="42"/>
      <c r="AO171">
        <f>SUM(AI169+AF169+AC169+Z169+W169+T169+Q169+N169+K169+AL169+AO169)</f>
        <v>109</v>
      </c>
      <c r="AP171" s="42"/>
      <c r="AQ171" s="42"/>
      <c r="AR171">
        <f>SUM(AL169+AI169+AF169+AC169+Z169+W169+T169+Q169+N169+K169+AO169+AR169)</f>
        <v>119</v>
      </c>
    </row>
    <row r="172" spans="1:82" x14ac:dyDescent="0.55000000000000004">
      <c r="L172" s="42"/>
      <c r="M172" s="42"/>
      <c r="O172" s="42"/>
      <c r="P172" s="42"/>
      <c r="R172" s="42"/>
      <c r="S172" s="42"/>
      <c r="U172" s="42"/>
      <c r="V172" s="42"/>
      <c r="X172" s="42"/>
      <c r="Y172" s="42"/>
      <c r="AA172" s="42"/>
      <c r="AB172" s="42"/>
      <c r="AD172" s="42"/>
      <c r="AE172" s="42"/>
      <c r="AG172" s="42"/>
      <c r="AH172" s="42"/>
      <c r="AJ172" s="42"/>
      <c r="AK172" s="42"/>
      <c r="AM172" s="42"/>
      <c r="AN172" s="42"/>
      <c r="AP172" s="42"/>
      <c r="AQ172" s="42"/>
    </row>
    <row r="173" spans="1:82" x14ac:dyDescent="0.55000000000000004">
      <c r="E173" t="s">
        <v>73</v>
      </c>
      <c r="F173">
        <f>SUM(K173+K174+N173+Q173+T173+T174+Z173+Z174+AO173+AO174+AO175+AO176+AR173+AR174)</f>
        <v>864</v>
      </c>
      <c r="I173" t="s">
        <v>72</v>
      </c>
      <c r="J173" t="s">
        <v>49</v>
      </c>
      <c r="K173">
        <v>16</v>
      </c>
      <c r="L173" t="s">
        <v>72</v>
      </c>
      <c r="M173" t="s">
        <v>54</v>
      </c>
      <c r="N173">
        <v>9</v>
      </c>
      <c r="O173" t="s">
        <v>72</v>
      </c>
      <c r="P173" t="s">
        <v>50</v>
      </c>
      <c r="Q173">
        <v>111</v>
      </c>
      <c r="R173" t="s">
        <v>72</v>
      </c>
      <c r="S173" t="s">
        <v>50</v>
      </c>
      <c r="T173">
        <v>115</v>
      </c>
      <c r="U173" t="s">
        <v>72</v>
      </c>
      <c r="X173" t="s">
        <v>72</v>
      </c>
      <c r="Y173" t="s">
        <v>49</v>
      </c>
      <c r="Z173">
        <v>18</v>
      </c>
      <c r="AA173" t="s">
        <v>73</v>
      </c>
      <c r="AD173" t="s">
        <v>72</v>
      </c>
      <c r="AG173" t="s">
        <v>72</v>
      </c>
      <c r="AJ173" t="s">
        <v>72</v>
      </c>
      <c r="AM173" t="s">
        <v>72</v>
      </c>
      <c r="AN173" t="s">
        <v>57</v>
      </c>
      <c r="AO173">
        <v>16</v>
      </c>
      <c r="AP173" t="s">
        <v>72</v>
      </c>
      <c r="AQ173" t="s">
        <v>100</v>
      </c>
      <c r="AR173">
        <v>24</v>
      </c>
      <c r="AV173" t="s">
        <v>0</v>
      </c>
      <c r="AX173" t="s">
        <v>49</v>
      </c>
      <c r="AY173" s="42">
        <v>15.5</v>
      </c>
      <c r="AZ173" s="42">
        <v>16</v>
      </c>
      <c r="BA173" t="s">
        <v>50</v>
      </c>
      <c r="BB173" s="42">
        <v>78.900000000000006</v>
      </c>
      <c r="BC173" s="42">
        <v>115</v>
      </c>
      <c r="BD173" s="42">
        <v>135</v>
      </c>
      <c r="BE173" s="42"/>
      <c r="BF173" s="42"/>
      <c r="BG173" t="s">
        <v>54</v>
      </c>
      <c r="BH173" s="42">
        <v>9</v>
      </c>
      <c r="BI173" s="42"/>
      <c r="BJ173" t="s">
        <v>57</v>
      </c>
      <c r="BK173" s="42">
        <v>16</v>
      </c>
      <c r="BL173" s="42"/>
      <c r="BM173" t="s">
        <v>64</v>
      </c>
      <c r="BN173" s="42">
        <v>65</v>
      </c>
      <c r="BO173" s="42"/>
      <c r="BP173" t="s">
        <v>59</v>
      </c>
      <c r="BQ173" s="42">
        <v>24</v>
      </c>
      <c r="BR173" s="42"/>
      <c r="BT173" s="42"/>
      <c r="BU173" s="42"/>
      <c r="BW173" s="42"/>
      <c r="BX173" s="42"/>
      <c r="BZ173" s="42"/>
      <c r="CA173" s="42"/>
      <c r="CC173" s="42"/>
      <c r="CD173" s="42"/>
    </row>
    <row r="174" spans="1:82" x14ac:dyDescent="0.55000000000000004">
      <c r="E174" t="s">
        <v>22</v>
      </c>
      <c r="F174">
        <f>SUM(T175+Z175+AF174+AO177+AO178)</f>
        <v>204</v>
      </c>
      <c r="J174" t="s">
        <v>50</v>
      </c>
      <c r="K174">
        <v>80</v>
      </c>
      <c r="L174" t="s">
        <v>22</v>
      </c>
      <c r="O174" t="s">
        <v>22</v>
      </c>
      <c r="S174" t="s">
        <v>49</v>
      </c>
      <c r="T174">
        <v>13</v>
      </c>
      <c r="Y174" t="s">
        <v>50</v>
      </c>
      <c r="Z174">
        <v>91</v>
      </c>
      <c r="AD174" t="s">
        <v>22</v>
      </c>
      <c r="AE174" t="s">
        <v>48</v>
      </c>
      <c r="AF174">
        <v>44</v>
      </c>
      <c r="AG174" t="s">
        <v>22</v>
      </c>
      <c r="AJ174" t="s">
        <v>22</v>
      </c>
      <c r="AN174" t="s">
        <v>50</v>
      </c>
      <c r="AO174">
        <v>135</v>
      </c>
      <c r="AQ174" t="s">
        <v>57</v>
      </c>
      <c r="AR174">
        <v>16</v>
      </c>
      <c r="AY174" s="42">
        <v>13</v>
      </c>
      <c r="AZ174" s="42"/>
      <c r="BB174" s="42">
        <v>110</v>
      </c>
      <c r="BC174" s="42">
        <v>91</v>
      </c>
      <c r="BD174" s="42">
        <v>155</v>
      </c>
      <c r="BE174" s="42"/>
      <c r="BF174" s="42"/>
      <c r="BH174" s="42"/>
      <c r="BI174" s="42"/>
      <c r="BK174" s="42">
        <v>16</v>
      </c>
      <c r="BL174" s="42"/>
      <c r="BN174" s="42"/>
      <c r="BO174" s="42"/>
      <c r="BQ174" s="42"/>
      <c r="BR174" s="42"/>
      <c r="BT174" s="42"/>
      <c r="BU174" s="42"/>
      <c r="BW174" s="42"/>
      <c r="BX174" s="42"/>
      <c r="BZ174" s="42"/>
      <c r="CA174" s="42"/>
      <c r="CC174" s="42"/>
      <c r="CD174" s="42"/>
    </row>
    <row r="175" spans="1:82" x14ac:dyDescent="0.55000000000000004">
      <c r="E175" t="s">
        <v>23</v>
      </c>
      <c r="F175">
        <f>SUM(K176+K177+Q175+Q176+Q177+W176+W177+Z176+Z177+AC176+AC177+AC178+AC179+AC180+AF175+AF176+AF177+AI175+AI176+AL175+AL176+AL177+AL178+AL179+AL180+AL181+AO179+AO180+AO181+AO182+AO183+AR176)</f>
        <v>1048</v>
      </c>
      <c r="I175" t="s">
        <v>22</v>
      </c>
      <c r="L175" t="s">
        <v>23</v>
      </c>
      <c r="O175" t="s">
        <v>23</v>
      </c>
      <c r="P175" t="s">
        <v>57</v>
      </c>
      <c r="Q175">
        <v>21</v>
      </c>
      <c r="R175" t="s">
        <v>22</v>
      </c>
      <c r="S175" t="s">
        <v>100</v>
      </c>
      <c r="T175">
        <v>31</v>
      </c>
      <c r="U175" t="s">
        <v>22</v>
      </c>
      <c r="X175" t="s">
        <v>22</v>
      </c>
      <c r="Y175" t="s">
        <v>57</v>
      </c>
      <c r="Z175">
        <v>25</v>
      </c>
      <c r="AA175" t="s">
        <v>22</v>
      </c>
      <c r="AD175" t="s">
        <v>23</v>
      </c>
      <c r="AE175" t="s">
        <v>58</v>
      </c>
      <c r="AF175">
        <v>22</v>
      </c>
      <c r="AG175" t="s">
        <v>23</v>
      </c>
      <c r="AH175" t="s">
        <v>100</v>
      </c>
      <c r="AI175">
        <v>22</v>
      </c>
      <c r="AJ175" t="s">
        <v>23</v>
      </c>
      <c r="AK175" t="s">
        <v>100</v>
      </c>
      <c r="AL175">
        <v>24</v>
      </c>
      <c r="AN175" t="s">
        <v>64</v>
      </c>
      <c r="AO175">
        <v>65</v>
      </c>
      <c r="AP175" t="s">
        <v>22</v>
      </c>
      <c r="AV175" t="s">
        <v>22</v>
      </c>
      <c r="AX175" t="s">
        <v>59</v>
      </c>
      <c r="AY175" s="42">
        <v>31</v>
      </c>
      <c r="AZ175" s="42"/>
      <c r="BA175" t="s">
        <v>57</v>
      </c>
      <c r="BB175" s="42">
        <v>25</v>
      </c>
      <c r="BC175" s="42"/>
      <c r="BD175" t="s">
        <v>48</v>
      </c>
      <c r="BE175" s="42">
        <v>44</v>
      </c>
      <c r="BF175" s="42"/>
      <c r="BH175" s="42"/>
      <c r="BI175" s="42"/>
      <c r="BK175" s="42"/>
      <c r="BL175" s="42"/>
      <c r="BN175" s="42"/>
      <c r="BO175" s="42"/>
      <c r="BQ175" s="42"/>
      <c r="BR175" s="42"/>
      <c r="BT175" s="42"/>
      <c r="BU175" s="42"/>
      <c r="BW175" s="42"/>
      <c r="BX175" s="42"/>
      <c r="BZ175" s="42"/>
      <c r="CA175" s="42"/>
      <c r="CC175" s="42"/>
      <c r="CD175" s="42"/>
    </row>
    <row r="176" spans="1:82" x14ac:dyDescent="0.55000000000000004">
      <c r="E176" t="s">
        <v>24</v>
      </c>
      <c r="F176">
        <f>SUM(Q178+Q179+Q180+T178+Z178+Z179+AC181+AC182+AF178+AI178+AL182+AR177+AR178)</f>
        <v>1066</v>
      </c>
      <c r="I176" t="s">
        <v>23</v>
      </c>
      <c r="J176" t="s">
        <v>48</v>
      </c>
      <c r="K176">
        <v>42</v>
      </c>
      <c r="L176" t="s">
        <v>76</v>
      </c>
      <c r="P176" t="s">
        <v>58</v>
      </c>
      <c r="Q176">
        <v>44</v>
      </c>
      <c r="R176" t="s">
        <v>23</v>
      </c>
      <c r="U176" t="s">
        <v>23</v>
      </c>
      <c r="V176" t="s">
        <v>65</v>
      </c>
      <c r="W176">
        <v>79</v>
      </c>
      <c r="X176" t="s">
        <v>23</v>
      </c>
      <c r="Y176" t="s">
        <v>57</v>
      </c>
      <c r="Z176">
        <v>21</v>
      </c>
      <c r="AA176" t="s">
        <v>23</v>
      </c>
      <c r="AB176" t="s">
        <v>62</v>
      </c>
      <c r="AC176">
        <v>20</v>
      </c>
      <c r="AE176" t="s">
        <v>48</v>
      </c>
      <c r="AF176">
        <v>47</v>
      </c>
      <c r="AH176" t="s">
        <v>57</v>
      </c>
      <c r="AI176">
        <v>26</v>
      </c>
      <c r="AK176" t="s">
        <v>100</v>
      </c>
      <c r="AL176">
        <v>23</v>
      </c>
      <c r="AN176" t="s">
        <v>50</v>
      </c>
      <c r="AO176">
        <v>155</v>
      </c>
      <c r="AP176" t="s">
        <v>23</v>
      </c>
      <c r="AQ176" t="s">
        <v>140</v>
      </c>
      <c r="AR176">
        <v>9</v>
      </c>
      <c r="AY176" s="42">
        <v>45</v>
      </c>
      <c r="AZ176" s="42"/>
      <c r="BB176" s="42"/>
      <c r="BC176" s="42"/>
      <c r="BE176" s="42">
        <v>59</v>
      </c>
      <c r="BF176" s="42"/>
      <c r="BH176" s="42"/>
      <c r="BI176" s="42"/>
      <c r="BK176" s="42"/>
      <c r="BL176" s="42"/>
      <c r="BN176" s="42"/>
      <c r="BO176" s="42"/>
      <c r="BQ176" s="42"/>
      <c r="BR176" s="42"/>
      <c r="BT176" s="42"/>
      <c r="BU176" s="42"/>
      <c r="BW176" s="42"/>
      <c r="BX176" s="42"/>
      <c r="BZ176" s="42"/>
      <c r="CA176" s="42"/>
      <c r="CC176" s="42"/>
      <c r="CD176" s="42"/>
    </row>
    <row r="177" spans="5:84" x14ac:dyDescent="0.55000000000000004">
      <c r="E177" t="s">
        <v>25</v>
      </c>
      <c r="F177">
        <f>SUM(N177+N178+Q181+T179+W179+AF179+AF180+AL183+AL184+AR179+AR180)</f>
        <v>656</v>
      </c>
      <c r="J177" t="s">
        <v>96</v>
      </c>
      <c r="K177">
        <v>8</v>
      </c>
      <c r="L177" t="s">
        <v>25</v>
      </c>
      <c r="M177" t="s">
        <v>55</v>
      </c>
      <c r="N177">
        <v>21</v>
      </c>
      <c r="P177" t="s">
        <v>62</v>
      </c>
      <c r="Q177">
        <v>3</v>
      </c>
      <c r="V177" t="s">
        <v>57</v>
      </c>
      <c r="W177">
        <v>24</v>
      </c>
      <c r="Y177" t="s">
        <v>59</v>
      </c>
      <c r="Z177">
        <v>15</v>
      </c>
      <c r="AB177" t="s">
        <v>120</v>
      </c>
      <c r="AC177">
        <v>61</v>
      </c>
      <c r="AE177" t="s">
        <v>140</v>
      </c>
      <c r="AF177">
        <v>13</v>
      </c>
      <c r="AK177" t="s">
        <v>100</v>
      </c>
      <c r="AL177">
        <v>20</v>
      </c>
      <c r="AM177" t="s">
        <v>22</v>
      </c>
      <c r="AN177" t="s">
        <v>48</v>
      </c>
      <c r="AO177">
        <v>59</v>
      </c>
      <c r="AP177" t="s">
        <v>76</v>
      </c>
      <c r="AQ177" t="s">
        <v>50</v>
      </c>
      <c r="AR177">
        <v>88</v>
      </c>
      <c r="AV177" t="s">
        <v>23</v>
      </c>
      <c r="AX177" t="s">
        <v>48</v>
      </c>
      <c r="AY177" s="42">
        <v>42</v>
      </c>
      <c r="AZ177" s="42">
        <v>49</v>
      </c>
      <c r="BA177" t="s">
        <v>51</v>
      </c>
      <c r="BB177" s="42">
        <v>7.8</v>
      </c>
      <c r="BC177" s="42"/>
      <c r="BD177" t="s">
        <v>57</v>
      </c>
      <c r="BE177" s="42">
        <v>21</v>
      </c>
      <c r="BF177" s="42">
        <v>21</v>
      </c>
      <c r="BG177" s="42">
        <v>26</v>
      </c>
      <c r="BH177" s="42"/>
      <c r="BI177" s="42"/>
      <c r="BJ177" t="s">
        <v>58</v>
      </c>
      <c r="BK177" s="42">
        <v>44</v>
      </c>
      <c r="BL177" s="42"/>
      <c r="BM177" t="s">
        <v>62</v>
      </c>
      <c r="BN177" s="42">
        <v>3</v>
      </c>
      <c r="BO177" s="42">
        <v>3</v>
      </c>
      <c r="BP177" t="s">
        <v>65</v>
      </c>
      <c r="BQ177" s="42">
        <v>79</v>
      </c>
      <c r="BR177" s="42">
        <v>89</v>
      </c>
      <c r="BS177" t="s">
        <v>59</v>
      </c>
      <c r="BT177" s="42">
        <v>15</v>
      </c>
      <c r="BU177" s="42">
        <v>24</v>
      </c>
      <c r="BV177" s="42">
        <v>20</v>
      </c>
      <c r="BW177" s="42">
        <v>24</v>
      </c>
      <c r="BX177" s="42">
        <v>36</v>
      </c>
      <c r="BY177" t="s">
        <v>64</v>
      </c>
      <c r="BZ177" s="42">
        <v>61</v>
      </c>
      <c r="CA177" s="42"/>
      <c r="CB177" t="s">
        <v>61</v>
      </c>
      <c r="CC177" s="42">
        <v>13</v>
      </c>
      <c r="CD177" s="42"/>
      <c r="CE177" t="s">
        <v>71</v>
      </c>
      <c r="CF177">
        <v>28</v>
      </c>
    </row>
    <row r="178" spans="5:84" x14ac:dyDescent="0.55000000000000004">
      <c r="E178" t="s">
        <v>78</v>
      </c>
      <c r="F178">
        <f>SUM(T182+W182+AC184+AI181)</f>
        <v>274</v>
      </c>
      <c r="I178" t="s">
        <v>76</v>
      </c>
      <c r="M178" t="s">
        <v>55</v>
      </c>
      <c r="N178">
        <v>22</v>
      </c>
      <c r="O178" t="s">
        <v>76</v>
      </c>
      <c r="P178" t="s">
        <v>122</v>
      </c>
      <c r="Q178">
        <v>43</v>
      </c>
      <c r="R178" t="s">
        <v>76</v>
      </c>
      <c r="S178" t="s">
        <v>54</v>
      </c>
      <c r="T178">
        <v>7</v>
      </c>
      <c r="U178" t="s">
        <v>76</v>
      </c>
      <c r="X178" t="s">
        <v>76</v>
      </c>
      <c r="Y178" t="s">
        <v>48</v>
      </c>
      <c r="Z178">
        <v>32</v>
      </c>
      <c r="AB178" t="s">
        <v>65</v>
      </c>
      <c r="AC178">
        <v>80</v>
      </c>
      <c r="AD178" t="s">
        <v>76</v>
      </c>
      <c r="AE178" t="s">
        <v>65</v>
      </c>
      <c r="AF178">
        <v>91</v>
      </c>
      <c r="AG178" t="s">
        <v>76</v>
      </c>
      <c r="AH178" t="s">
        <v>69</v>
      </c>
      <c r="AI178">
        <v>85</v>
      </c>
      <c r="AK178" t="s">
        <v>57</v>
      </c>
      <c r="AL178">
        <v>24</v>
      </c>
      <c r="AN178" t="s">
        <v>82</v>
      </c>
      <c r="AO178">
        <v>45</v>
      </c>
      <c r="AQ178" t="s">
        <v>99</v>
      </c>
      <c r="AR178">
        <v>18</v>
      </c>
      <c r="AY178" s="42">
        <v>47</v>
      </c>
      <c r="AZ178" s="42"/>
      <c r="BB178" s="42"/>
      <c r="BC178" s="42"/>
      <c r="BE178" s="42">
        <v>24</v>
      </c>
      <c r="BF178" s="42">
        <v>22</v>
      </c>
      <c r="BG178">
        <v>24</v>
      </c>
      <c r="BH178" s="42"/>
      <c r="BI178" s="42"/>
      <c r="BK178" s="42">
        <v>22</v>
      </c>
      <c r="BL178" s="42"/>
      <c r="BN178" s="42">
        <v>20</v>
      </c>
      <c r="BO178" s="42">
        <v>5</v>
      </c>
      <c r="BQ178" s="42">
        <v>80</v>
      </c>
      <c r="BR178" s="42"/>
      <c r="BT178" s="42">
        <v>22</v>
      </c>
      <c r="BU178" s="42">
        <v>23</v>
      </c>
      <c r="BV178" s="42">
        <v>85</v>
      </c>
      <c r="BW178" s="42">
        <v>31</v>
      </c>
      <c r="BX178" s="42">
        <v>31</v>
      </c>
      <c r="BZ178" s="42"/>
      <c r="CA178" s="42"/>
      <c r="CC178" s="42">
        <v>9</v>
      </c>
      <c r="CD178" s="42"/>
    </row>
    <row r="179" spans="5:84" x14ac:dyDescent="0.55000000000000004">
      <c r="E179" t="s">
        <v>79</v>
      </c>
      <c r="F179">
        <f>SUM(AF182)</f>
        <v>32</v>
      </c>
      <c r="I179" t="s">
        <v>25</v>
      </c>
      <c r="L179" t="s">
        <v>77</v>
      </c>
      <c r="P179" t="s">
        <v>100</v>
      </c>
      <c r="Q179">
        <v>32</v>
      </c>
      <c r="R179" t="s">
        <v>25</v>
      </c>
      <c r="S179" t="s">
        <v>50</v>
      </c>
      <c r="T179">
        <v>68</v>
      </c>
      <c r="U179" t="s">
        <v>25</v>
      </c>
      <c r="V179" t="s">
        <v>64</v>
      </c>
      <c r="W179">
        <v>41</v>
      </c>
      <c r="Y179" t="s">
        <v>65</v>
      </c>
      <c r="Z179">
        <v>110</v>
      </c>
      <c r="AB179" t="s">
        <v>65</v>
      </c>
      <c r="AC179">
        <v>89</v>
      </c>
      <c r="AD179" t="s">
        <v>25</v>
      </c>
      <c r="AE179" t="s">
        <v>57</v>
      </c>
      <c r="AF179">
        <v>24</v>
      </c>
      <c r="AG179" t="s">
        <v>25</v>
      </c>
      <c r="AK179" t="s">
        <v>62</v>
      </c>
      <c r="AL179">
        <v>5</v>
      </c>
      <c r="AM179" t="s">
        <v>23</v>
      </c>
      <c r="AN179" t="s">
        <v>100</v>
      </c>
      <c r="AO179">
        <v>24</v>
      </c>
      <c r="AP179" t="s">
        <v>25</v>
      </c>
      <c r="AQ179" t="s">
        <v>64</v>
      </c>
      <c r="AR179">
        <v>42</v>
      </c>
      <c r="AV179" t="s">
        <v>24</v>
      </c>
      <c r="AX179" t="s">
        <v>59</v>
      </c>
      <c r="AY179" s="42">
        <v>43</v>
      </c>
      <c r="AZ179" s="42"/>
      <c r="BA179" t="s">
        <v>60</v>
      </c>
      <c r="BB179" s="42">
        <v>38</v>
      </c>
      <c r="BC179" s="42"/>
      <c r="BD179" t="s">
        <v>54</v>
      </c>
      <c r="BE179" s="42">
        <v>7</v>
      </c>
      <c r="BF179" s="42"/>
      <c r="BG179" t="s">
        <v>48</v>
      </c>
      <c r="BH179" s="42">
        <v>32</v>
      </c>
      <c r="BI179" s="42"/>
      <c r="BJ179" t="s">
        <v>65</v>
      </c>
      <c r="BK179" s="42">
        <v>110</v>
      </c>
      <c r="BL179" s="42"/>
      <c r="BM179" t="s">
        <v>66</v>
      </c>
      <c r="BN179" s="42">
        <v>270</v>
      </c>
      <c r="BO179" s="42"/>
      <c r="BP179" t="s">
        <v>69</v>
      </c>
      <c r="BQ179" s="42">
        <v>85</v>
      </c>
      <c r="BR179" s="42"/>
      <c r="BS179" t="s">
        <v>50</v>
      </c>
      <c r="BT179" s="42">
        <v>230</v>
      </c>
      <c r="BU179" s="42">
        <v>9</v>
      </c>
      <c r="BW179" s="42"/>
      <c r="BX179" s="42"/>
      <c r="BZ179" s="42"/>
      <c r="CA179" s="42"/>
      <c r="CC179" s="42"/>
      <c r="CD179" s="42"/>
    </row>
    <row r="180" spans="5:84" x14ac:dyDescent="0.55000000000000004">
      <c r="E180" t="s">
        <v>27</v>
      </c>
      <c r="I180" t="s">
        <v>77</v>
      </c>
      <c r="L180" t="s">
        <v>79</v>
      </c>
      <c r="P180" t="s">
        <v>60</v>
      </c>
      <c r="Q180">
        <v>38</v>
      </c>
      <c r="X180" t="s">
        <v>25</v>
      </c>
      <c r="AB180" t="s">
        <v>57</v>
      </c>
      <c r="AC180">
        <v>22</v>
      </c>
      <c r="AE180" t="s">
        <v>58</v>
      </c>
      <c r="AF180">
        <v>52</v>
      </c>
      <c r="AK180" t="s">
        <v>55</v>
      </c>
      <c r="AL180">
        <v>28</v>
      </c>
      <c r="AN180" t="s">
        <v>48</v>
      </c>
      <c r="AO180">
        <v>49</v>
      </c>
      <c r="AQ180" t="s">
        <v>62</v>
      </c>
      <c r="AR180">
        <v>9</v>
      </c>
      <c r="AY180" s="42">
        <v>33</v>
      </c>
      <c r="AZ180" s="42"/>
      <c r="BB180" s="42"/>
      <c r="BC180" s="42"/>
      <c r="BE180" s="42">
        <v>25</v>
      </c>
      <c r="BF180" s="42"/>
      <c r="BH180" s="42"/>
      <c r="BI180" s="42"/>
      <c r="BK180" s="42">
        <v>91</v>
      </c>
      <c r="BL180" s="42"/>
      <c r="BN180" s="42"/>
      <c r="BO180" s="42"/>
      <c r="BQ180" s="42"/>
      <c r="BR180" s="42"/>
      <c r="BT180" s="42">
        <v>88</v>
      </c>
      <c r="BU180" s="42">
        <v>18</v>
      </c>
      <c r="BW180" s="42"/>
      <c r="BX180" s="42"/>
      <c r="BZ180" s="42"/>
      <c r="CA180" s="42"/>
      <c r="CC180" s="42"/>
      <c r="CD180" s="42"/>
    </row>
    <row r="181" spans="5:84" x14ac:dyDescent="0.55000000000000004">
      <c r="E181" t="s">
        <v>28</v>
      </c>
      <c r="F181">
        <f>SUM(K183+K184+K185+K186+K187+N182+N183+N184+N185+Q185+Q186+T185+T186+T187+T188+W185+W186+Z184+Z185+AC187+AC188+AC189+AF184+AF185+AI184+AI185+AO189+AO190+AR184)</f>
        <v>1036</v>
      </c>
      <c r="I181" t="s">
        <v>79</v>
      </c>
      <c r="L181" t="s">
        <v>27</v>
      </c>
      <c r="O181" t="s">
        <v>25</v>
      </c>
      <c r="P181" t="s">
        <v>55</v>
      </c>
      <c r="Q181">
        <v>21</v>
      </c>
      <c r="X181" t="s">
        <v>77</v>
      </c>
      <c r="AA181" t="s">
        <v>76</v>
      </c>
      <c r="AB181" t="s">
        <v>66</v>
      </c>
      <c r="AC181">
        <v>270</v>
      </c>
      <c r="AD181" t="s">
        <v>77</v>
      </c>
      <c r="AG181" t="s">
        <v>77</v>
      </c>
      <c r="AH181" t="s">
        <v>141</v>
      </c>
      <c r="AI181">
        <v>163</v>
      </c>
      <c r="AK181" t="s">
        <v>100</v>
      </c>
      <c r="AL181">
        <v>85</v>
      </c>
      <c r="AN181" t="s">
        <v>122</v>
      </c>
      <c r="AO181">
        <v>31</v>
      </c>
      <c r="AP181" t="s">
        <v>77</v>
      </c>
      <c r="AV181" t="s">
        <v>25</v>
      </c>
      <c r="AX181" t="s">
        <v>55</v>
      </c>
      <c r="AY181" s="42">
        <v>21</v>
      </c>
      <c r="AZ181" s="42">
        <v>21</v>
      </c>
      <c r="BA181" t="s">
        <v>51</v>
      </c>
      <c r="BB181" s="42">
        <v>20</v>
      </c>
      <c r="BC181" s="42"/>
      <c r="BD181" t="s">
        <v>50</v>
      </c>
      <c r="BE181" s="42">
        <v>68</v>
      </c>
      <c r="BF181" s="42"/>
      <c r="BG181" t="s">
        <v>64</v>
      </c>
      <c r="BH181" s="42">
        <v>41</v>
      </c>
      <c r="BI181" s="42"/>
      <c r="BJ181" t="s">
        <v>57</v>
      </c>
      <c r="BK181" s="42">
        <v>24</v>
      </c>
      <c r="BL181" s="42"/>
      <c r="BM181" t="s">
        <v>58</v>
      </c>
      <c r="BN181" s="42">
        <v>52</v>
      </c>
      <c r="BO181" s="42"/>
      <c r="BP181" t="s">
        <v>70</v>
      </c>
      <c r="BQ181" s="42">
        <v>330</v>
      </c>
      <c r="BR181" s="42"/>
      <c r="BS181" t="s">
        <v>62</v>
      </c>
      <c r="BT181" s="42">
        <v>9</v>
      </c>
      <c r="BU181" s="42"/>
      <c r="BW181" s="42"/>
      <c r="BX181" s="42"/>
      <c r="BZ181" s="42"/>
      <c r="CA181" s="42"/>
      <c r="CC181" s="42"/>
      <c r="CD181" s="42"/>
    </row>
    <row r="182" spans="5:84" x14ac:dyDescent="0.55000000000000004">
      <c r="I182" t="s">
        <v>27</v>
      </c>
      <c r="L182" t="s">
        <v>28</v>
      </c>
      <c r="M182" t="s">
        <v>90</v>
      </c>
      <c r="N182">
        <v>75</v>
      </c>
      <c r="O182" t="s">
        <v>77</v>
      </c>
      <c r="R182" t="s">
        <v>77</v>
      </c>
      <c r="S182" t="s">
        <v>59</v>
      </c>
      <c r="T182">
        <v>37</v>
      </c>
      <c r="U182" t="s">
        <v>77</v>
      </c>
      <c r="V182" t="s">
        <v>57</v>
      </c>
      <c r="W182">
        <v>7</v>
      </c>
      <c r="X182" t="s">
        <v>79</v>
      </c>
      <c r="AB182" t="s">
        <v>81</v>
      </c>
      <c r="AC182">
        <v>22</v>
      </c>
      <c r="AD182" t="s">
        <v>79</v>
      </c>
      <c r="AE182" t="s">
        <v>67</v>
      </c>
      <c r="AF182">
        <v>32</v>
      </c>
      <c r="AG182" t="s">
        <v>79</v>
      </c>
      <c r="AJ182" t="s">
        <v>76</v>
      </c>
      <c r="AK182" t="s">
        <v>50</v>
      </c>
      <c r="AL182">
        <v>230</v>
      </c>
      <c r="AN182" t="s">
        <v>122</v>
      </c>
      <c r="AO182">
        <v>36</v>
      </c>
      <c r="AP182" t="s">
        <v>79</v>
      </c>
      <c r="AY182" s="42">
        <v>22</v>
      </c>
      <c r="AZ182" s="42"/>
      <c r="BB182" s="42"/>
      <c r="BC182" s="42"/>
      <c r="BE182" s="42"/>
      <c r="BF182" s="42"/>
      <c r="BH182" s="42">
        <v>42</v>
      </c>
      <c r="BI182" s="42"/>
      <c r="BK182" s="42">
        <v>13</v>
      </c>
      <c r="BL182" s="42"/>
      <c r="BN182" s="42"/>
      <c r="BO182" s="42"/>
      <c r="BQ182" s="42"/>
      <c r="BR182" s="42"/>
      <c r="BT182" s="42"/>
      <c r="BU182" s="42"/>
      <c r="BW182" s="42"/>
      <c r="BX182" s="42"/>
      <c r="BZ182" s="42"/>
      <c r="CA182" s="42"/>
      <c r="CC182" s="42"/>
      <c r="CD182" s="42"/>
    </row>
    <row r="183" spans="5:84" ht="18" customHeight="1" x14ac:dyDescent="0.55000000000000004">
      <c r="I183" t="s">
        <v>28</v>
      </c>
      <c r="J183" t="s">
        <v>138</v>
      </c>
      <c r="K183">
        <v>32</v>
      </c>
      <c r="M183" t="s">
        <v>100</v>
      </c>
      <c r="N183">
        <v>35</v>
      </c>
      <c r="O183" t="s">
        <v>79</v>
      </c>
      <c r="R183" t="s">
        <v>79</v>
      </c>
      <c r="U183" t="s">
        <v>79</v>
      </c>
      <c r="X183" t="s">
        <v>27</v>
      </c>
      <c r="AA183" t="s">
        <v>25</v>
      </c>
      <c r="AD183" t="s">
        <v>27</v>
      </c>
      <c r="AG183" t="s">
        <v>27</v>
      </c>
      <c r="AJ183" t="s">
        <v>25</v>
      </c>
      <c r="AK183" t="s">
        <v>142</v>
      </c>
      <c r="AL183">
        <v>330</v>
      </c>
      <c r="AN183" t="s">
        <v>100</v>
      </c>
      <c r="AO183">
        <v>31</v>
      </c>
      <c r="AP183" t="s">
        <v>27</v>
      </c>
      <c r="AV183" t="s">
        <v>47</v>
      </c>
      <c r="AX183" t="s">
        <v>59</v>
      </c>
      <c r="AY183" s="42">
        <v>37</v>
      </c>
      <c r="AZ183" s="42"/>
      <c r="BA183" t="s">
        <v>57</v>
      </c>
      <c r="BB183" s="42">
        <v>7</v>
      </c>
      <c r="BC183" s="42"/>
      <c r="BD183" t="s">
        <v>58</v>
      </c>
      <c r="BE183" s="42">
        <v>68</v>
      </c>
      <c r="BF183" s="42"/>
      <c r="BG183" t="s">
        <v>68</v>
      </c>
      <c r="BH183" s="42">
        <v>163</v>
      </c>
      <c r="BI183" s="42"/>
      <c r="BK183" s="42"/>
      <c r="BL183" s="42"/>
      <c r="BN183" s="42"/>
      <c r="BO183" s="42"/>
      <c r="BQ183" s="42"/>
      <c r="BR183" s="42"/>
      <c r="BT183" s="42"/>
      <c r="BU183" s="42"/>
      <c r="BW183" s="42"/>
      <c r="BX183" s="42"/>
      <c r="BZ183" s="42"/>
      <c r="CA183" s="42"/>
      <c r="CC183" s="42"/>
      <c r="CD183" s="42"/>
    </row>
    <row r="184" spans="5:84" ht="18" customHeight="1" x14ac:dyDescent="0.55000000000000004">
      <c r="J184" t="s">
        <v>50</v>
      </c>
      <c r="K184">
        <v>110</v>
      </c>
      <c r="M184" t="s">
        <v>55</v>
      </c>
      <c r="N184">
        <v>10</v>
      </c>
      <c r="O184" t="s">
        <v>27</v>
      </c>
      <c r="R184" t="s">
        <v>27</v>
      </c>
      <c r="U184" t="s">
        <v>27</v>
      </c>
      <c r="X184" t="s">
        <v>28</v>
      </c>
      <c r="Y184" t="s">
        <v>57</v>
      </c>
      <c r="Z184">
        <v>20</v>
      </c>
      <c r="AA184" t="s">
        <v>77</v>
      </c>
      <c r="AB184" t="s">
        <v>58</v>
      </c>
      <c r="AC184">
        <v>67</v>
      </c>
      <c r="AD184" t="s">
        <v>28</v>
      </c>
      <c r="AE184" t="s">
        <v>49</v>
      </c>
      <c r="AF184">
        <v>13</v>
      </c>
      <c r="AG184" t="s">
        <v>28</v>
      </c>
      <c r="AH184" t="s">
        <v>57</v>
      </c>
      <c r="AI184">
        <v>29</v>
      </c>
      <c r="AK184" t="s">
        <v>57</v>
      </c>
      <c r="AL184">
        <v>26</v>
      </c>
      <c r="AM184" t="s">
        <v>76</v>
      </c>
      <c r="AP184" t="s">
        <v>28</v>
      </c>
      <c r="AQ184" t="s">
        <v>82</v>
      </c>
      <c r="AR184">
        <v>15</v>
      </c>
      <c r="AY184" s="42"/>
      <c r="AZ184" s="42"/>
      <c r="BB184" s="42"/>
      <c r="BC184" s="42"/>
      <c r="BE184" s="42"/>
      <c r="BF184" s="42"/>
      <c r="BH184" s="42"/>
      <c r="BI184" s="42"/>
      <c r="BK184" s="42"/>
      <c r="BL184" s="42"/>
      <c r="BN184" s="42"/>
      <c r="BO184" s="42"/>
      <c r="BQ184" s="42"/>
      <c r="BR184" s="42"/>
      <c r="BT184" s="42"/>
      <c r="BU184" s="42"/>
      <c r="BW184" s="42"/>
      <c r="BX184" s="42"/>
      <c r="BZ184" s="42"/>
      <c r="CA184" s="42"/>
      <c r="CC184" s="42"/>
      <c r="CD184" s="42"/>
    </row>
    <row r="185" spans="5:84" x14ac:dyDescent="0.55000000000000004">
      <c r="J185" t="s">
        <v>122</v>
      </c>
      <c r="K185">
        <v>51</v>
      </c>
      <c r="M185" t="s">
        <v>56</v>
      </c>
      <c r="N185">
        <v>25</v>
      </c>
      <c r="O185" t="s">
        <v>28</v>
      </c>
      <c r="P185" t="s">
        <v>85</v>
      </c>
      <c r="Q185">
        <v>46</v>
      </c>
      <c r="R185" t="s">
        <v>28</v>
      </c>
      <c r="S185" t="s">
        <v>139</v>
      </c>
      <c r="T185">
        <v>6</v>
      </c>
      <c r="U185" t="s">
        <v>28</v>
      </c>
      <c r="V185" t="s">
        <v>95</v>
      </c>
      <c r="W185">
        <v>9</v>
      </c>
      <c r="Y185" t="s">
        <v>82</v>
      </c>
      <c r="Z185">
        <v>20</v>
      </c>
      <c r="AA185" t="s">
        <v>79</v>
      </c>
      <c r="AE185" t="s">
        <v>50</v>
      </c>
      <c r="AF185">
        <v>120</v>
      </c>
      <c r="AH185" t="s">
        <v>100</v>
      </c>
      <c r="AI185">
        <v>26</v>
      </c>
      <c r="AJ185" t="s">
        <v>77</v>
      </c>
      <c r="AM185" t="s">
        <v>25</v>
      </c>
      <c r="AV185" t="s">
        <v>27</v>
      </c>
      <c r="AX185" t="s">
        <v>57</v>
      </c>
      <c r="AY185" s="42">
        <v>29</v>
      </c>
      <c r="AZ185" s="42"/>
      <c r="BB185" s="42"/>
      <c r="BC185" s="42"/>
      <c r="BE185" s="42"/>
      <c r="BF185" s="42"/>
      <c r="BH185" s="42"/>
      <c r="BI185" s="42"/>
      <c r="BK185" s="42"/>
      <c r="BL185" s="42"/>
      <c r="BN185" s="42"/>
      <c r="BO185" s="42"/>
      <c r="BQ185" s="42"/>
      <c r="BR185" s="42"/>
      <c r="BT185" s="42"/>
      <c r="BU185" s="42"/>
      <c r="BW185" s="42"/>
      <c r="BX185" s="42"/>
      <c r="BZ185" s="42"/>
      <c r="CA185" s="42"/>
      <c r="CC185" s="42"/>
      <c r="CD185" s="42"/>
    </row>
    <row r="186" spans="5:84" x14ac:dyDescent="0.55000000000000004">
      <c r="J186" t="s">
        <v>122</v>
      </c>
      <c r="K186">
        <v>42</v>
      </c>
      <c r="P186" t="s">
        <v>82</v>
      </c>
      <c r="Q186">
        <v>42</v>
      </c>
      <c r="S186" t="s">
        <v>64</v>
      </c>
      <c r="T186">
        <v>39</v>
      </c>
      <c r="V186" t="s">
        <v>95</v>
      </c>
      <c r="W186">
        <v>30</v>
      </c>
      <c r="AA186" t="s">
        <v>27</v>
      </c>
      <c r="AJ186" t="s">
        <v>79</v>
      </c>
      <c r="AM186" t="s">
        <v>77</v>
      </c>
      <c r="AY186" s="42"/>
      <c r="AZ186" s="42"/>
      <c r="BB186" s="42"/>
      <c r="BC186" s="42"/>
      <c r="BE186" s="42"/>
      <c r="BF186" s="42"/>
      <c r="BH186" s="42"/>
      <c r="BI186" s="42"/>
      <c r="BK186" s="42"/>
      <c r="BL186" s="42"/>
      <c r="BN186" s="42"/>
      <c r="BO186" s="42"/>
      <c r="BQ186" s="42"/>
      <c r="BR186" s="42"/>
      <c r="BT186" s="42"/>
      <c r="BU186" s="42"/>
      <c r="BW186" s="42"/>
      <c r="BX186" s="42"/>
      <c r="BZ186" s="42"/>
      <c r="CA186" s="42"/>
      <c r="CC186" s="42"/>
      <c r="CD186" s="42"/>
    </row>
    <row r="187" spans="5:84" x14ac:dyDescent="0.55000000000000004">
      <c r="J187" t="s">
        <v>100</v>
      </c>
      <c r="K187">
        <v>30</v>
      </c>
      <c r="S187" t="s">
        <v>136</v>
      </c>
      <c r="T187">
        <v>7</v>
      </c>
      <c r="AA187" t="s">
        <v>28</v>
      </c>
      <c r="AB187" t="s">
        <v>57</v>
      </c>
      <c r="AC187">
        <v>4</v>
      </c>
      <c r="AJ187" t="s">
        <v>27</v>
      </c>
      <c r="AM187" t="s">
        <v>79</v>
      </c>
      <c r="AV187" t="s">
        <v>28</v>
      </c>
      <c r="AX187" t="s">
        <v>52</v>
      </c>
      <c r="AY187" s="42">
        <v>32</v>
      </c>
      <c r="AZ187" s="42">
        <v>35</v>
      </c>
      <c r="BA187">
        <v>9</v>
      </c>
      <c r="BB187">
        <v>20</v>
      </c>
      <c r="BC187" s="42"/>
      <c r="BD187" t="s">
        <v>50</v>
      </c>
      <c r="BE187" s="42">
        <v>110</v>
      </c>
      <c r="BF187" s="42"/>
      <c r="BG187" t="s">
        <v>55</v>
      </c>
      <c r="BH187" s="42">
        <v>9.5</v>
      </c>
      <c r="BI187" s="42"/>
      <c r="BJ187" t="s">
        <v>56</v>
      </c>
      <c r="BK187" s="42">
        <v>25</v>
      </c>
      <c r="BL187" s="42"/>
      <c r="BM187" t="s">
        <v>63</v>
      </c>
      <c r="BN187" s="42">
        <v>6</v>
      </c>
      <c r="BO187" s="42"/>
      <c r="BP187" t="s">
        <v>64</v>
      </c>
      <c r="BQ187" s="42">
        <v>39</v>
      </c>
      <c r="BR187" s="42"/>
      <c r="BS187" t="s">
        <v>62</v>
      </c>
      <c r="BT187" s="42">
        <v>3</v>
      </c>
      <c r="BV187" s="42" t="s">
        <v>57</v>
      </c>
      <c r="BW187" s="42">
        <v>20</v>
      </c>
      <c r="BX187" s="42"/>
      <c r="BY187" t="s">
        <v>49</v>
      </c>
      <c r="BZ187" s="42">
        <v>14</v>
      </c>
      <c r="CA187" s="42"/>
      <c r="CB187" t="s">
        <v>67</v>
      </c>
      <c r="CC187" s="42">
        <v>33</v>
      </c>
      <c r="CD187" s="42"/>
      <c r="CE187" t="s">
        <v>48</v>
      </c>
      <c r="CF187">
        <v>52</v>
      </c>
    </row>
    <row r="188" spans="5:84" x14ac:dyDescent="0.55000000000000004">
      <c r="S188" t="s">
        <v>62</v>
      </c>
      <c r="T188">
        <v>3</v>
      </c>
      <c r="AB188" t="s">
        <v>100</v>
      </c>
      <c r="AC188">
        <v>40</v>
      </c>
      <c r="AJ188" t="s">
        <v>28</v>
      </c>
      <c r="AM188" t="s">
        <v>27</v>
      </c>
      <c r="AX188" t="s">
        <v>53</v>
      </c>
      <c r="AY188" s="42">
        <v>51</v>
      </c>
      <c r="AZ188" s="42">
        <v>35</v>
      </c>
      <c r="BA188">
        <v>30</v>
      </c>
      <c r="BB188" s="42">
        <v>26</v>
      </c>
      <c r="BC188" s="42"/>
      <c r="BD188" s="42"/>
      <c r="BE188" s="42">
        <v>120</v>
      </c>
      <c r="BG188" s="42"/>
      <c r="BH188" s="42"/>
      <c r="BJ188" s="42"/>
      <c r="BK188" s="42"/>
      <c r="BM188" s="42"/>
      <c r="BN188" s="42"/>
      <c r="BP188" s="42"/>
      <c r="BQ188" s="42"/>
      <c r="BS188" s="42"/>
      <c r="BT188" s="42"/>
      <c r="BV188" s="42"/>
      <c r="BW188" s="42">
        <v>4</v>
      </c>
      <c r="BX188" s="42"/>
      <c r="BZ188" s="42"/>
      <c r="CA188" s="42"/>
      <c r="CC188" s="42">
        <v>16</v>
      </c>
      <c r="CD188" s="42"/>
    </row>
    <row r="189" spans="5:84" x14ac:dyDescent="0.55000000000000004">
      <c r="AB189" t="s">
        <v>100</v>
      </c>
      <c r="AC189">
        <v>32</v>
      </c>
      <c r="AM189" t="s">
        <v>28</v>
      </c>
      <c r="AN189" t="s">
        <v>48</v>
      </c>
      <c r="AO189">
        <v>52</v>
      </c>
      <c r="AX189" t="s">
        <v>61</v>
      </c>
      <c r="AY189" s="42">
        <v>42</v>
      </c>
      <c r="AZ189" s="42">
        <v>46</v>
      </c>
      <c r="BA189">
        <v>21</v>
      </c>
      <c r="BB189" s="42">
        <v>15</v>
      </c>
      <c r="BC189" s="42"/>
      <c r="BE189" s="42">
        <v>73</v>
      </c>
      <c r="BF189" s="42"/>
      <c r="BH189" s="42"/>
      <c r="BI189" s="42"/>
      <c r="BK189" s="42"/>
      <c r="BL189" s="42"/>
      <c r="BN189" s="42"/>
      <c r="BO189" s="42"/>
      <c r="BQ189" s="42"/>
      <c r="BR189" s="42"/>
      <c r="BT189" s="42"/>
      <c r="BU189" s="42"/>
      <c r="BW189" s="42"/>
      <c r="BX189" s="42"/>
      <c r="BZ189" s="42"/>
      <c r="CA189" s="42"/>
      <c r="CC189" s="42"/>
      <c r="CD189" s="42"/>
    </row>
    <row r="190" spans="5:84" x14ac:dyDescent="0.55000000000000004">
      <c r="AN190" t="s">
        <v>50</v>
      </c>
      <c r="AO190">
        <v>73</v>
      </c>
      <c r="AY190" s="42">
        <v>30</v>
      </c>
      <c r="AZ190" s="42">
        <v>41</v>
      </c>
      <c r="BA190">
        <v>20</v>
      </c>
      <c r="BB190" s="42"/>
      <c r="BC190" s="42"/>
      <c r="BE190" s="42"/>
      <c r="BF190" s="42"/>
      <c r="BH190" s="42"/>
      <c r="BI190" s="42"/>
      <c r="BK190" s="42"/>
      <c r="BL190" s="42"/>
      <c r="BN190" s="42"/>
      <c r="BO190" s="42"/>
      <c r="BQ190" s="42"/>
      <c r="BR190" s="42"/>
      <c r="BT190" s="42"/>
      <c r="BU190" s="42"/>
      <c r="BW190" s="42"/>
      <c r="BX190" s="42"/>
      <c r="BZ190" s="42"/>
      <c r="CA190" s="42"/>
      <c r="CC190" s="42"/>
      <c r="CD190" s="42"/>
    </row>
    <row r="191" spans="5:84" x14ac:dyDescent="0.55000000000000004">
      <c r="AY191" s="42">
        <v>75</v>
      </c>
      <c r="AZ191" s="42">
        <v>7</v>
      </c>
      <c r="BA191">
        <v>31</v>
      </c>
      <c r="BB191" s="42"/>
      <c r="BC191" s="42"/>
      <c r="BD191" s="41"/>
      <c r="BE191" s="42"/>
      <c r="BF191" s="42"/>
      <c r="BG191" s="41"/>
      <c r="BH191" s="42"/>
      <c r="BI191" s="42"/>
      <c r="BJ191" s="41"/>
      <c r="BK191" s="42"/>
      <c r="BL191" s="42"/>
      <c r="BM191" s="41"/>
      <c r="BN191" s="42"/>
      <c r="BO191" s="42"/>
      <c r="BP191" s="41"/>
      <c r="BQ191" s="42"/>
      <c r="BR191" s="42"/>
      <c r="BS191" s="41"/>
      <c r="BT191" s="42"/>
      <c r="BU191" s="42"/>
      <c r="BV191" s="41"/>
      <c r="BW191" s="42"/>
      <c r="BX191" s="42"/>
      <c r="BY191" s="41"/>
      <c r="BZ191" s="42"/>
      <c r="CA191" s="42"/>
      <c r="CB191" s="41"/>
      <c r="CC191" s="42"/>
      <c r="CD191" s="42"/>
      <c r="CE191" s="41"/>
    </row>
    <row r="193" spans="2:44" x14ac:dyDescent="0.55000000000000004">
      <c r="I193" s="3" t="s">
        <v>4</v>
      </c>
      <c r="J193" s="4"/>
      <c r="K193" s="5"/>
      <c r="L193" s="3" t="s">
        <v>5</v>
      </c>
      <c r="M193" s="4"/>
      <c r="N193" s="5"/>
      <c r="O193" s="6" t="s">
        <v>6</v>
      </c>
      <c r="P193" s="7"/>
      <c r="Q193" s="5"/>
      <c r="R193" s="3" t="s">
        <v>7</v>
      </c>
      <c r="S193" s="4"/>
      <c r="T193" s="5"/>
      <c r="U193" s="6" t="s">
        <v>8</v>
      </c>
      <c r="V193" s="7"/>
      <c r="W193" s="5"/>
      <c r="X193" s="3" t="s">
        <v>9</v>
      </c>
      <c r="Y193" s="4"/>
      <c r="Z193" s="5"/>
      <c r="AA193" s="3" t="s">
        <v>10</v>
      </c>
      <c r="AB193" s="4"/>
      <c r="AC193" s="5"/>
      <c r="AD193" s="3" t="s">
        <v>11</v>
      </c>
      <c r="AE193" s="4"/>
      <c r="AF193" s="5"/>
      <c r="AG193" s="3" t="s">
        <v>12</v>
      </c>
      <c r="AH193" s="4"/>
      <c r="AI193" s="5"/>
      <c r="AJ193" s="3" t="s">
        <v>13</v>
      </c>
      <c r="AK193" s="4"/>
      <c r="AL193" s="5"/>
      <c r="AM193" s="3" t="s">
        <v>14</v>
      </c>
      <c r="AN193" s="4"/>
      <c r="AO193" s="5"/>
      <c r="AP193" s="3" t="s">
        <v>15</v>
      </c>
      <c r="AQ193" s="4"/>
      <c r="AR193" s="5"/>
    </row>
    <row r="194" spans="2:44" x14ac:dyDescent="0.55000000000000004">
      <c r="B194" s="28" t="s">
        <v>19</v>
      </c>
      <c r="E194" s="37"/>
      <c r="G194" s="37"/>
      <c r="I194" s="8" t="s">
        <v>16</v>
      </c>
      <c r="J194" s="8" t="s">
        <v>17</v>
      </c>
      <c r="K194" s="9" t="s">
        <v>3</v>
      </c>
      <c r="L194" s="8" t="s">
        <v>16</v>
      </c>
      <c r="M194" s="8" t="s">
        <v>17</v>
      </c>
      <c r="N194" s="9" t="s">
        <v>3</v>
      </c>
      <c r="O194" s="10" t="s">
        <v>16</v>
      </c>
      <c r="P194" s="10" t="s">
        <v>17</v>
      </c>
      <c r="Q194" s="9" t="s">
        <v>3</v>
      </c>
      <c r="R194" s="11" t="s">
        <v>16</v>
      </c>
      <c r="S194" s="11" t="s">
        <v>17</v>
      </c>
      <c r="T194" s="9" t="s">
        <v>3</v>
      </c>
      <c r="U194" s="10" t="s">
        <v>16</v>
      </c>
      <c r="V194" s="10" t="s">
        <v>17</v>
      </c>
      <c r="W194" s="9" t="s">
        <v>3</v>
      </c>
      <c r="X194" s="8" t="s">
        <v>16</v>
      </c>
      <c r="Y194" s="8" t="s">
        <v>17</v>
      </c>
      <c r="Z194" s="9" t="s">
        <v>3</v>
      </c>
      <c r="AA194" s="8" t="s">
        <v>16</v>
      </c>
      <c r="AB194" s="8" t="s">
        <v>17</v>
      </c>
      <c r="AC194" s="9" t="s">
        <v>3</v>
      </c>
      <c r="AD194" s="8" t="s">
        <v>16</v>
      </c>
      <c r="AE194" s="8" t="s">
        <v>17</v>
      </c>
      <c r="AF194" s="9" t="s">
        <v>3</v>
      </c>
      <c r="AG194" s="8" t="s">
        <v>16</v>
      </c>
      <c r="AH194" s="8" t="s">
        <v>17</v>
      </c>
      <c r="AI194" s="9" t="s">
        <v>3</v>
      </c>
      <c r="AJ194" s="8" t="s">
        <v>16</v>
      </c>
      <c r="AK194" s="8" t="s">
        <v>17</v>
      </c>
      <c r="AL194" s="9" t="s">
        <v>3</v>
      </c>
      <c r="AM194" s="8" t="s">
        <v>16</v>
      </c>
      <c r="AN194" s="8" t="s">
        <v>17</v>
      </c>
      <c r="AO194" s="9" t="s">
        <v>3</v>
      </c>
      <c r="AP194" s="8" t="s">
        <v>16</v>
      </c>
      <c r="AQ194" s="8" t="s">
        <v>17</v>
      </c>
      <c r="AR194" s="9" t="s">
        <v>3</v>
      </c>
    </row>
    <row r="195" spans="2:44" x14ac:dyDescent="0.55000000000000004">
      <c r="E195" s="32" t="s">
        <v>38</v>
      </c>
      <c r="F195" s="37"/>
      <c r="G195" s="32"/>
      <c r="I195" s="12"/>
      <c r="J195" s="13"/>
      <c r="K195" s="14"/>
      <c r="L195" s="12"/>
      <c r="M195" s="13"/>
      <c r="N195" s="14"/>
      <c r="O195" s="12"/>
      <c r="P195" s="13"/>
      <c r="Q195" s="14"/>
      <c r="R195" s="12"/>
      <c r="S195" s="13"/>
      <c r="T195" s="14"/>
      <c r="U195" s="12"/>
      <c r="V195" s="13"/>
      <c r="W195" s="14"/>
      <c r="X195" s="12"/>
      <c r="Y195" s="13"/>
      <c r="Z195" s="14"/>
      <c r="AA195" s="12"/>
      <c r="AB195" s="13"/>
      <c r="AC195" s="14"/>
      <c r="AD195" s="12"/>
      <c r="AE195" s="13"/>
      <c r="AF195" s="14"/>
      <c r="AG195" s="12"/>
      <c r="AH195" s="13"/>
      <c r="AI195" s="14"/>
      <c r="AJ195" s="12"/>
      <c r="AK195" s="13"/>
      <c r="AL195" s="14"/>
      <c r="AM195" s="12"/>
      <c r="AN195" s="13"/>
      <c r="AO195" s="14"/>
      <c r="AP195" s="12"/>
      <c r="AQ195" s="13"/>
      <c r="AR195" s="14"/>
    </row>
    <row r="196" spans="2:44" x14ac:dyDescent="0.55000000000000004">
      <c r="E196" s="1">
        <f>SUM(I196+L196+O196+R196+U196+X196+AA196+AD196+AG196+AJ196+AM196+AP196)</f>
        <v>55246560</v>
      </c>
      <c r="F196" s="32" t="s">
        <v>39</v>
      </c>
      <c r="G196" s="2">
        <f>SUM(F197/E196)</f>
        <v>0.34423924313115606</v>
      </c>
      <c r="I196" s="1">
        <v>2672000</v>
      </c>
      <c r="J196" s="1">
        <v>798832</v>
      </c>
      <c r="K196" s="2">
        <f>SUM(J196/I196)</f>
        <v>0.29896407185628743</v>
      </c>
      <c r="L196" s="15">
        <v>1703200</v>
      </c>
      <c r="M196" s="15">
        <v>632050</v>
      </c>
      <c r="N196" s="2">
        <f>SUM(M196/L196)</f>
        <v>0.37109558478158761</v>
      </c>
      <c r="O196" s="16">
        <v>4496300</v>
      </c>
      <c r="P196" s="16">
        <v>1454902</v>
      </c>
      <c r="Q196" s="2">
        <f>SUM(P196/O196)</f>
        <v>0.32357760825567689</v>
      </c>
      <c r="R196" s="16">
        <v>3560000</v>
      </c>
      <c r="S196" s="16">
        <v>1289500</v>
      </c>
      <c r="T196" s="2">
        <f>SUM(S196/R196)</f>
        <v>0.36221910112359551</v>
      </c>
      <c r="U196" s="16">
        <v>1670000</v>
      </c>
      <c r="V196" s="16">
        <v>591425</v>
      </c>
      <c r="W196" s="2">
        <f>SUM(V196/U196)</f>
        <v>0.35414670658682634</v>
      </c>
      <c r="X196" s="17">
        <v>3510900</v>
      </c>
      <c r="Y196" s="17">
        <v>1004017</v>
      </c>
      <c r="Z196" s="2">
        <f>SUM(Y196/X196)</f>
        <v>0.28597140334387194</v>
      </c>
      <c r="AA196" s="15">
        <v>4051800</v>
      </c>
      <c r="AB196" s="15">
        <v>1383255</v>
      </c>
      <c r="AC196" s="2">
        <f>SUM(AB196/AA196)</f>
        <v>0.34139271434917812</v>
      </c>
      <c r="AD196" s="15">
        <v>3260260</v>
      </c>
      <c r="AE196" s="15">
        <v>1177338</v>
      </c>
      <c r="AF196" s="2">
        <f>SUM(AE196/AD196)</f>
        <v>0.36111782495874561</v>
      </c>
      <c r="AG196" s="15">
        <v>4504800</v>
      </c>
      <c r="AH196" s="15">
        <v>1600997</v>
      </c>
      <c r="AI196" s="2">
        <f>SUM(AH196/AG196)</f>
        <v>0.35539801988989522</v>
      </c>
      <c r="AJ196" s="31">
        <v>5835000</v>
      </c>
      <c r="AK196" s="31">
        <v>1602724</v>
      </c>
      <c r="AL196" s="2">
        <f>SUM(AK196/AJ196)</f>
        <v>0.27467420736932308</v>
      </c>
      <c r="AM196" s="1">
        <v>8213000</v>
      </c>
      <c r="AN196" s="1">
        <v>2583730</v>
      </c>
      <c r="AO196" s="2">
        <f>SUM(AN196/AM196)</f>
        <v>0.3145902836965786</v>
      </c>
      <c r="AP196" s="15">
        <v>11769300</v>
      </c>
      <c r="AQ196" s="15">
        <v>4899264</v>
      </c>
      <c r="AR196" s="2">
        <f>SUM(AQ196/AP196)</f>
        <v>0.41627488465754126</v>
      </c>
    </row>
    <row r="197" spans="2:44" x14ac:dyDescent="0.55000000000000004">
      <c r="F197" s="1">
        <f>SUM(J196+M196+P196+S196+V196+Y196+AB196+AE196+AH196+AK196+AN196+AQ196)</f>
        <v>19018034</v>
      </c>
      <c r="G197">
        <f>SUM(K197+N197+Q197+T197+W197+Z197+AC197+AF197+AI197+AL197+AO197+AR197)</f>
        <v>100</v>
      </c>
      <c r="K197">
        <v>6</v>
      </c>
      <c r="N197">
        <v>6</v>
      </c>
      <c r="Q197">
        <v>12</v>
      </c>
      <c r="T197">
        <v>11</v>
      </c>
      <c r="W197">
        <v>4</v>
      </c>
      <c r="Z197">
        <v>6</v>
      </c>
      <c r="AC197">
        <v>9</v>
      </c>
      <c r="AF197">
        <v>8</v>
      </c>
      <c r="AI197">
        <v>8</v>
      </c>
      <c r="AL197">
        <v>8</v>
      </c>
      <c r="AO197">
        <v>10</v>
      </c>
      <c r="AR197">
        <v>12</v>
      </c>
    </row>
    <row r="198" spans="2:44" x14ac:dyDescent="0.55000000000000004">
      <c r="F198" t="s">
        <v>40</v>
      </c>
      <c r="L198" s="42">
        <f>SUM(I196+L196)</f>
        <v>4375200</v>
      </c>
      <c r="M198" s="42">
        <f>SUM(J196+M196)</f>
        <v>1430882</v>
      </c>
      <c r="N198" s="2">
        <f>SUM(M198/L198)</f>
        <v>0.32704379228378133</v>
      </c>
      <c r="O198" s="42">
        <f>SUM(I196+L196+O196)</f>
        <v>8871500</v>
      </c>
      <c r="P198" s="42">
        <f>SUM(J196+M196+P196)</f>
        <v>2885784</v>
      </c>
      <c r="Q198" s="2">
        <f>SUM(P198/O198)</f>
        <v>0.32528704277743337</v>
      </c>
      <c r="R198" s="42">
        <f>SUM(I196+L196+O196+R196)</f>
        <v>12431500</v>
      </c>
      <c r="S198" s="42">
        <f>SUM(M196+P196+S196+J196)</f>
        <v>4175284</v>
      </c>
      <c r="T198" s="2">
        <f>SUM(S198/R198)</f>
        <v>0.3358632506133612</v>
      </c>
      <c r="U198" s="42">
        <f>SUM(O196+R196+U196+I196+L196)</f>
        <v>14101500</v>
      </c>
      <c r="V198" s="42">
        <f>SUM(P196+S196+V196+M196+J196)</f>
        <v>4766709</v>
      </c>
      <c r="W198" s="2">
        <f>SUM(V198/U198)</f>
        <v>0.3380285076055739</v>
      </c>
      <c r="X198" s="42">
        <f>SUM(R196+U196+X196+L196+O196+I196)</f>
        <v>17612400</v>
      </c>
      <c r="Y198" s="42">
        <f>SUM(S196+V196+Y196+P196+M196+J196)</f>
        <v>5770726</v>
      </c>
      <c r="Z198" s="2">
        <f>SUM(Y198/X198)</f>
        <v>0.32765131384706231</v>
      </c>
      <c r="AA198" s="42">
        <f>SUM(L196+I196+U196+X196+AA196+O196+R196)</f>
        <v>21664200</v>
      </c>
      <c r="AB198" s="42">
        <f>SUM(M196+J196+V196+Y196+AB196+S196+P196)</f>
        <v>7153981</v>
      </c>
      <c r="AC198" s="2">
        <f>SUM(AB198/AA198)</f>
        <v>0.33022133289020594</v>
      </c>
      <c r="AD198" s="42">
        <f>SUM(O196+L196+I196+X196+AA196+AD196+R196+U196)</f>
        <v>24924460</v>
      </c>
      <c r="AE198" s="42">
        <f>SUM(P196+M196+J196+Y196+AB196+AE196+V196+S196)</f>
        <v>8331319</v>
      </c>
      <c r="AF198" s="2">
        <f>SUM(AE198/AD198)</f>
        <v>0.33426276838093982</v>
      </c>
      <c r="AG198" s="42">
        <f>SUM(R196+O196+L196+I196+AA196+AD196+AG196+U196+X196)</f>
        <v>29429260</v>
      </c>
      <c r="AH198" s="42">
        <f>SUM(S196+P196+M196+J196+AB196+AE196+AH196+Y196+V196)</f>
        <v>9932316</v>
      </c>
      <c r="AI198" s="2">
        <f>SUM(AH198/AG198)</f>
        <v>0.33749798669759279</v>
      </c>
      <c r="AJ198" s="42">
        <f>SUM(U196+R196+O196+L196+I196+AD196+AG196+AJ196+X196+AA196)</f>
        <v>35264260</v>
      </c>
      <c r="AK198" s="42">
        <f>SUM(V196+S196+P196+M196+J196+AE196+AH196+AK196+AB196+Y196)</f>
        <v>11535040</v>
      </c>
      <c r="AL198" s="2">
        <f>SUM(AK198/AJ198)</f>
        <v>0.32710285144222506</v>
      </c>
      <c r="AM198" s="42">
        <f>SUM(X196+U196+R196+O196+L196+I196+AG196+AJ196+AM196+AA196+AD196)</f>
        <v>43477260</v>
      </c>
      <c r="AN198" s="42">
        <f>SUM(Y196+V196+S196+P196+M196+J196+AH196+AK196+AN196+AE196+AB196)</f>
        <v>14118770</v>
      </c>
      <c r="AO198" s="2">
        <f>SUM(AN198/AM198)</f>
        <v>0.32473918549605013</v>
      </c>
      <c r="AP198" s="42">
        <f>SUM(AA196+X196+U196+R196+O196+L196+I196+AJ196+AM196+AP196+AD196+AG196)</f>
        <v>55246560</v>
      </c>
      <c r="AQ198" s="42">
        <f>SUM(AB196+Y196+V196+S196+P196+M196+J196+AK196+AN196+AQ196+AH196+AE196)</f>
        <v>19018034</v>
      </c>
      <c r="AR198" s="2">
        <f>SUM(AQ198/AP198)</f>
        <v>0.34423924313115606</v>
      </c>
    </row>
    <row r="199" spans="2:44" x14ac:dyDescent="0.55000000000000004">
      <c r="N199">
        <f>SUM(K197+N197)</f>
        <v>12</v>
      </c>
      <c r="O199" s="42"/>
      <c r="P199" s="42"/>
      <c r="Q199">
        <f>SUM(K197+N197+Q197)</f>
        <v>24</v>
      </c>
      <c r="R199" s="42"/>
      <c r="S199" s="42"/>
      <c r="T199">
        <f>SUM(N197+K197+Q197+T197)</f>
        <v>35</v>
      </c>
      <c r="U199" s="42"/>
      <c r="V199" s="42"/>
      <c r="W199">
        <f>SUM(Q197+N197+K197+T197+W197)</f>
        <v>39</v>
      </c>
      <c r="X199" s="42"/>
      <c r="Y199" s="42"/>
      <c r="Z199">
        <f>SUM(T197+Q197+N197+K197+W197+Z197)</f>
        <v>45</v>
      </c>
      <c r="AA199" s="42"/>
      <c r="AB199" s="42"/>
      <c r="AC199">
        <f>SUM(W197+T197+Q197+N197+K197+Z197+AC197)</f>
        <v>54</v>
      </c>
      <c r="AD199" s="42"/>
      <c r="AE199" s="42"/>
      <c r="AF199">
        <f>SUM(Z197+W197+T197+Q197+N197+K197+AC197+AF197)</f>
        <v>62</v>
      </c>
      <c r="AG199" s="42"/>
      <c r="AH199" s="42"/>
      <c r="AI199">
        <f>SUM(AC197+Z197+W197+T197+Q197+N197+K197+AF197+AI197)</f>
        <v>70</v>
      </c>
      <c r="AJ199" s="42"/>
      <c r="AK199" s="42"/>
      <c r="AL199">
        <f>SUM(AF197+AC197+Z197+W197+T197+Q197+N197+K197+AI197+AL197)</f>
        <v>78</v>
      </c>
      <c r="AM199" s="42"/>
      <c r="AN199" s="42"/>
      <c r="AO199">
        <f>SUM(AI197+AF197+AC197+Z197+W197+T197+Q197+N197+K197+AL197+AO197)</f>
        <v>88</v>
      </c>
      <c r="AP199" s="42"/>
      <c r="AQ199" s="42"/>
      <c r="AR199">
        <f>SUM(AL197+AI197+AF197+AC197+Z197+W197+T197+Q197+N197+K197+AO197+AR197)</f>
        <v>100</v>
      </c>
    </row>
    <row r="201" spans="2:44" x14ac:dyDescent="0.55000000000000004">
      <c r="E201" t="s">
        <v>72</v>
      </c>
      <c r="F201">
        <f>SUM(N201+Z201+AF201+AO201+AO202+AO203+AO204+AR201)</f>
        <v>762</v>
      </c>
      <c r="I201" t="s">
        <v>72</v>
      </c>
      <c r="L201" t="s">
        <v>72</v>
      </c>
      <c r="M201" t="s">
        <v>82</v>
      </c>
      <c r="N201">
        <v>19</v>
      </c>
      <c r="O201" t="s">
        <v>72</v>
      </c>
      <c r="R201" t="s">
        <v>72</v>
      </c>
      <c r="U201" t="s">
        <v>72</v>
      </c>
      <c r="X201" t="s">
        <v>72</v>
      </c>
      <c r="Y201" t="s">
        <v>134</v>
      </c>
      <c r="Z201">
        <v>35</v>
      </c>
      <c r="AA201" t="s">
        <v>72</v>
      </c>
      <c r="AD201" t="s">
        <v>72</v>
      </c>
      <c r="AE201" t="s">
        <v>50</v>
      </c>
      <c r="AF201">
        <v>150</v>
      </c>
      <c r="AG201" t="s">
        <v>72</v>
      </c>
      <c r="AJ201" t="s">
        <v>72</v>
      </c>
      <c r="AM201" t="s">
        <v>72</v>
      </c>
      <c r="AN201" t="s">
        <v>50</v>
      </c>
      <c r="AO201">
        <v>97</v>
      </c>
      <c r="AP201" t="s">
        <v>72</v>
      </c>
      <c r="AQ201" t="s">
        <v>50</v>
      </c>
      <c r="AR201">
        <v>128</v>
      </c>
    </row>
    <row r="202" spans="2:44" x14ac:dyDescent="0.55000000000000004">
      <c r="E202" t="s">
        <v>22</v>
      </c>
      <c r="F202">
        <f>SUM(K202+Q202+AF202+AI202)</f>
        <v>111</v>
      </c>
      <c r="I202" t="s">
        <v>22</v>
      </c>
      <c r="J202" t="s">
        <v>57</v>
      </c>
      <c r="K202">
        <v>25</v>
      </c>
      <c r="L202" t="s">
        <v>22</v>
      </c>
      <c r="O202" t="s">
        <v>22</v>
      </c>
      <c r="P202" t="s">
        <v>57</v>
      </c>
      <c r="Q202">
        <v>28</v>
      </c>
      <c r="R202" t="s">
        <v>22</v>
      </c>
      <c r="U202" t="s">
        <v>22</v>
      </c>
      <c r="X202" t="s">
        <v>22</v>
      </c>
      <c r="AA202" t="s">
        <v>22</v>
      </c>
      <c r="AD202" t="s">
        <v>22</v>
      </c>
      <c r="AE202" t="s">
        <v>95</v>
      </c>
      <c r="AF202">
        <v>28</v>
      </c>
      <c r="AG202" t="s">
        <v>22</v>
      </c>
      <c r="AH202" t="s">
        <v>57</v>
      </c>
      <c r="AI202">
        <v>30</v>
      </c>
      <c r="AJ202" t="s">
        <v>22</v>
      </c>
      <c r="AN202" t="s">
        <v>50</v>
      </c>
      <c r="AO202">
        <v>174</v>
      </c>
      <c r="AP202" t="s">
        <v>22</v>
      </c>
    </row>
    <row r="203" spans="2:44" x14ac:dyDescent="0.55000000000000004">
      <c r="E203" t="s">
        <v>23</v>
      </c>
      <c r="F203">
        <f>SUM(K203+K204+N203+N204+Q203+Q204+Q205+Q206+T203+T204+T205+T206+T207+W203+W204+Z203+Z204+AC203+AC204+AC205+AC206+AF203+AF204+AF205+AF206+AI203+AI204+AI205+AI206+AL203+AL204+AO206+AO207+AR203)</f>
        <v>1203</v>
      </c>
      <c r="I203" t="s">
        <v>23</v>
      </c>
      <c r="J203" t="s">
        <v>65</v>
      </c>
      <c r="K203">
        <v>79</v>
      </c>
      <c r="L203" t="s">
        <v>23</v>
      </c>
      <c r="M203" t="s">
        <v>55</v>
      </c>
      <c r="N203">
        <v>28</v>
      </c>
      <c r="O203" t="s">
        <v>23</v>
      </c>
      <c r="P203" t="s">
        <v>65</v>
      </c>
      <c r="Q203">
        <v>79</v>
      </c>
      <c r="R203" t="s">
        <v>23</v>
      </c>
      <c r="S203" t="s">
        <v>132</v>
      </c>
      <c r="T203">
        <v>25</v>
      </c>
      <c r="U203" t="s">
        <v>23</v>
      </c>
      <c r="V203" t="s">
        <v>65</v>
      </c>
      <c r="W203">
        <v>79</v>
      </c>
      <c r="X203" t="s">
        <v>23</v>
      </c>
      <c r="Y203" t="s">
        <v>131</v>
      </c>
      <c r="Z203">
        <v>153</v>
      </c>
      <c r="AA203" t="s">
        <v>23</v>
      </c>
      <c r="AB203" t="s">
        <v>100</v>
      </c>
      <c r="AC203">
        <v>33</v>
      </c>
      <c r="AD203" t="s">
        <v>23</v>
      </c>
      <c r="AE203" t="s">
        <v>62</v>
      </c>
      <c r="AF203">
        <v>5</v>
      </c>
      <c r="AG203" t="s">
        <v>23</v>
      </c>
      <c r="AH203" t="s">
        <v>100</v>
      </c>
      <c r="AI203">
        <v>24</v>
      </c>
      <c r="AJ203" t="s">
        <v>23</v>
      </c>
      <c r="AK203" t="s">
        <v>57</v>
      </c>
      <c r="AL203">
        <v>27</v>
      </c>
      <c r="AN203" t="s">
        <v>57</v>
      </c>
      <c r="AO203">
        <v>19</v>
      </c>
      <c r="AP203" t="s">
        <v>23</v>
      </c>
      <c r="AQ203" t="s">
        <v>100</v>
      </c>
      <c r="AR203">
        <v>25</v>
      </c>
    </row>
    <row r="204" spans="2:44" x14ac:dyDescent="0.55000000000000004">
      <c r="E204" t="s">
        <v>76</v>
      </c>
      <c r="F204">
        <f>SUM(K205+N205+Q207+AC207+AC208+AI207+AL205+AL206+AO208+AO209+AO210+AR204+AR205+AR206)</f>
        <v>1098</v>
      </c>
      <c r="J204" t="s">
        <v>129</v>
      </c>
      <c r="K204">
        <v>32</v>
      </c>
      <c r="M204" t="s">
        <v>96</v>
      </c>
      <c r="N204">
        <v>9</v>
      </c>
      <c r="P204" t="s">
        <v>95</v>
      </c>
      <c r="Q204">
        <v>26</v>
      </c>
      <c r="S204" t="s">
        <v>100</v>
      </c>
      <c r="T204">
        <v>23</v>
      </c>
      <c r="V204" t="s">
        <v>100</v>
      </c>
      <c r="W204">
        <v>23</v>
      </c>
      <c r="Y204" t="s">
        <v>57</v>
      </c>
      <c r="Z204">
        <v>27</v>
      </c>
      <c r="AB204" t="s">
        <v>58</v>
      </c>
      <c r="AC204">
        <v>20</v>
      </c>
      <c r="AE204" t="s">
        <v>62</v>
      </c>
      <c r="AF204">
        <v>5</v>
      </c>
      <c r="AH204" t="s">
        <v>100</v>
      </c>
      <c r="AI204">
        <v>18</v>
      </c>
      <c r="AK204" t="s">
        <v>57</v>
      </c>
      <c r="AL204">
        <v>17</v>
      </c>
      <c r="AN204" t="s">
        <v>50</v>
      </c>
      <c r="AO204">
        <v>140</v>
      </c>
      <c r="AP204" t="s">
        <v>76</v>
      </c>
      <c r="AQ204" t="s">
        <v>99</v>
      </c>
      <c r="AR204">
        <v>15</v>
      </c>
    </row>
    <row r="205" spans="2:44" x14ac:dyDescent="0.55000000000000004">
      <c r="E205" t="s">
        <v>25</v>
      </c>
      <c r="F205">
        <f>SUM(K206+K207+N206+T208+W205+AI208+AR207+AR208)</f>
        <v>571</v>
      </c>
      <c r="I205" t="s">
        <v>76</v>
      </c>
      <c r="J205" t="s">
        <v>99</v>
      </c>
      <c r="K205">
        <v>15</v>
      </c>
      <c r="L205" t="s">
        <v>76</v>
      </c>
      <c r="M205" t="s">
        <v>50</v>
      </c>
      <c r="N205">
        <v>75</v>
      </c>
      <c r="P205" t="s">
        <v>100</v>
      </c>
      <c r="Q205">
        <v>25</v>
      </c>
      <c r="S205" t="s">
        <v>64</v>
      </c>
      <c r="T205">
        <v>40</v>
      </c>
      <c r="U205" t="s">
        <v>25</v>
      </c>
      <c r="V205" t="s">
        <v>58</v>
      </c>
      <c r="W205">
        <v>51</v>
      </c>
      <c r="X205" t="s">
        <v>25</v>
      </c>
      <c r="AB205" t="s">
        <v>50</v>
      </c>
      <c r="AC205">
        <v>65</v>
      </c>
      <c r="AE205" t="s">
        <v>58</v>
      </c>
      <c r="AF205">
        <v>34</v>
      </c>
      <c r="AH205" t="s">
        <v>100</v>
      </c>
      <c r="AI205">
        <v>25</v>
      </c>
      <c r="AJ205" t="s">
        <v>76</v>
      </c>
      <c r="AK205" t="s">
        <v>50</v>
      </c>
      <c r="AL205">
        <v>130</v>
      </c>
      <c r="AM205" t="s">
        <v>22</v>
      </c>
      <c r="AQ205" t="s">
        <v>50</v>
      </c>
      <c r="AR205">
        <v>136</v>
      </c>
    </row>
    <row r="206" spans="2:44" x14ac:dyDescent="0.55000000000000004">
      <c r="E206" t="s">
        <v>77</v>
      </c>
      <c r="F206">
        <f>SUM(Q209+AC210+AF209+AL208)</f>
        <v>268</v>
      </c>
      <c r="I206" t="s">
        <v>25</v>
      </c>
      <c r="J206" t="s">
        <v>130</v>
      </c>
      <c r="K206">
        <v>15</v>
      </c>
      <c r="L206" t="s">
        <v>25</v>
      </c>
      <c r="M206" t="s">
        <v>96</v>
      </c>
      <c r="N206">
        <v>21</v>
      </c>
      <c r="P206" t="s">
        <v>57</v>
      </c>
      <c r="Q206">
        <v>27</v>
      </c>
      <c r="S206" t="s">
        <v>100</v>
      </c>
      <c r="T206">
        <v>25</v>
      </c>
      <c r="U206" t="s">
        <v>77</v>
      </c>
      <c r="X206" t="s">
        <v>77</v>
      </c>
      <c r="AB206" t="s">
        <v>95</v>
      </c>
      <c r="AC206">
        <v>34</v>
      </c>
      <c r="AE206" t="s">
        <v>48</v>
      </c>
      <c r="AF206">
        <v>36</v>
      </c>
      <c r="AH206" t="s">
        <v>48</v>
      </c>
      <c r="AI206">
        <v>44</v>
      </c>
      <c r="AK206" t="s">
        <v>50</v>
      </c>
      <c r="AL206">
        <v>100</v>
      </c>
      <c r="AM206" t="s">
        <v>23</v>
      </c>
      <c r="AN206" t="s">
        <v>100</v>
      </c>
      <c r="AO206">
        <v>29</v>
      </c>
      <c r="AQ206" t="s">
        <v>55</v>
      </c>
      <c r="AR206">
        <v>15</v>
      </c>
    </row>
    <row r="207" spans="2:44" x14ac:dyDescent="0.55000000000000004">
      <c r="E207" t="s">
        <v>79</v>
      </c>
      <c r="F207">
        <f>SUM(AI210)</f>
        <v>128</v>
      </c>
      <c r="J207" t="s">
        <v>131</v>
      </c>
      <c r="K207">
        <v>102</v>
      </c>
      <c r="L207" t="s">
        <v>77</v>
      </c>
      <c r="O207" t="s">
        <v>76</v>
      </c>
      <c r="P207" t="s">
        <v>57</v>
      </c>
      <c r="Q207">
        <v>28</v>
      </c>
      <c r="S207" t="s">
        <v>95</v>
      </c>
      <c r="T207">
        <v>26</v>
      </c>
      <c r="U207" t="s">
        <v>79</v>
      </c>
      <c r="X207" t="s">
        <v>79</v>
      </c>
      <c r="AA207" t="s">
        <v>24</v>
      </c>
      <c r="AB207" t="s">
        <v>135</v>
      </c>
      <c r="AC207">
        <v>52</v>
      </c>
      <c r="AD207" t="s">
        <v>76</v>
      </c>
      <c r="AG207" t="s">
        <v>76</v>
      </c>
      <c r="AH207" t="s">
        <v>50</v>
      </c>
      <c r="AI207">
        <v>150</v>
      </c>
      <c r="AJ207" t="s">
        <v>25</v>
      </c>
      <c r="AN207" t="s">
        <v>48</v>
      </c>
      <c r="AO207">
        <v>36</v>
      </c>
      <c r="AP207" t="s">
        <v>25</v>
      </c>
      <c r="AQ207" t="s">
        <v>50</v>
      </c>
      <c r="AR207">
        <v>140</v>
      </c>
    </row>
    <row r="208" spans="2:44" x14ac:dyDescent="0.55000000000000004">
      <c r="E208" t="s">
        <v>27</v>
      </c>
      <c r="F208">
        <f>SUM(T211)</f>
        <v>23</v>
      </c>
      <c r="I208" t="s">
        <v>77</v>
      </c>
      <c r="L208" t="s">
        <v>79</v>
      </c>
      <c r="O208" t="s">
        <v>25</v>
      </c>
      <c r="R208" t="s">
        <v>25</v>
      </c>
      <c r="S208" t="s">
        <v>64</v>
      </c>
      <c r="T208">
        <v>45</v>
      </c>
      <c r="U208" t="s">
        <v>27</v>
      </c>
      <c r="X208" t="s">
        <v>27</v>
      </c>
      <c r="AB208" t="s">
        <v>48</v>
      </c>
      <c r="AC208">
        <v>55</v>
      </c>
      <c r="AD208" t="s">
        <v>25</v>
      </c>
      <c r="AG208" t="s">
        <v>25</v>
      </c>
      <c r="AH208" t="s">
        <v>55</v>
      </c>
      <c r="AI208">
        <v>32</v>
      </c>
      <c r="AJ208" t="s">
        <v>77</v>
      </c>
      <c r="AK208" t="s">
        <v>125</v>
      </c>
      <c r="AL208">
        <v>200</v>
      </c>
      <c r="AM208" t="s">
        <v>76</v>
      </c>
      <c r="AN208" t="s">
        <v>50</v>
      </c>
      <c r="AO208">
        <v>124</v>
      </c>
      <c r="AQ208" t="s">
        <v>50</v>
      </c>
      <c r="AR208">
        <v>165</v>
      </c>
    </row>
    <row r="209" spans="2:44" x14ac:dyDescent="0.55000000000000004">
      <c r="E209" t="s">
        <v>28</v>
      </c>
      <c r="F209">
        <f>SUM(N210+Q210+Q211+Q212+Q213+Q214+T212+T213+T214+T215+W209+Z209+Z210+Z211+AC213+AF212+AL211+AL212+AR210+AR211+AR212+AR213+AR214+AS213)</f>
        <v>1340</v>
      </c>
      <c r="I209" t="s">
        <v>79</v>
      </c>
      <c r="L209" t="s">
        <v>27</v>
      </c>
      <c r="O209" t="s">
        <v>77</v>
      </c>
      <c r="P209" t="s">
        <v>54</v>
      </c>
      <c r="Q209">
        <v>7</v>
      </c>
      <c r="R209" t="s">
        <v>77</v>
      </c>
      <c r="U209" t="s">
        <v>28</v>
      </c>
      <c r="V209" t="s">
        <v>57</v>
      </c>
      <c r="W209">
        <v>14</v>
      </c>
      <c r="X209" t="s">
        <v>28</v>
      </c>
      <c r="Y209" t="s">
        <v>57</v>
      </c>
      <c r="Z209">
        <v>18</v>
      </c>
      <c r="AA209" t="s">
        <v>25</v>
      </c>
      <c r="AD209" t="s">
        <v>77</v>
      </c>
      <c r="AE209" t="s">
        <v>57</v>
      </c>
      <c r="AF209">
        <v>21</v>
      </c>
      <c r="AG209" t="s">
        <v>77</v>
      </c>
      <c r="AJ209" t="s">
        <v>79</v>
      </c>
      <c r="AN209" t="s">
        <v>50</v>
      </c>
      <c r="AO209">
        <v>150</v>
      </c>
      <c r="AP209" t="s">
        <v>77</v>
      </c>
    </row>
    <row r="210" spans="2:44" x14ac:dyDescent="0.55000000000000004">
      <c r="I210" t="s">
        <v>27</v>
      </c>
      <c r="L210" t="s">
        <v>28</v>
      </c>
      <c r="M210" t="s">
        <v>100</v>
      </c>
      <c r="N210">
        <v>19</v>
      </c>
      <c r="O210" t="s">
        <v>28</v>
      </c>
      <c r="P210" t="s">
        <v>82</v>
      </c>
      <c r="Q210">
        <v>21</v>
      </c>
      <c r="R210" t="s">
        <v>79</v>
      </c>
      <c r="Y210" t="s">
        <v>66</v>
      </c>
      <c r="Z210">
        <v>107</v>
      </c>
      <c r="AA210" t="s">
        <v>77</v>
      </c>
      <c r="AB210" t="s">
        <v>57</v>
      </c>
      <c r="AC210">
        <v>40</v>
      </c>
      <c r="AD210" t="s">
        <v>79</v>
      </c>
      <c r="AG210" t="s">
        <v>79</v>
      </c>
      <c r="AH210" t="s">
        <v>67</v>
      </c>
      <c r="AI210">
        <v>128</v>
      </c>
      <c r="AJ210" t="s">
        <v>27</v>
      </c>
      <c r="AN210" t="s">
        <v>122</v>
      </c>
      <c r="AO210">
        <v>53</v>
      </c>
      <c r="AP210" t="s">
        <v>28</v>
      </c>
      <c r="AQ210" t="s">
        <v>61</v>
      </c>
      <c r="AR210">
        <v>18</v>
      </c>
    </row>
    <row r="211" spans="2:44" x14ac:dyDescent="0.55000000000000004">
      <c r="I211" t="s">
        <v>28</v>
      </c>
      <c r="P211" t="s">
        <v>100</v>
      </c>
      <c r="Q211">
        <v>27</v>
      </c>
      <c r="R211" t="s">
        <v>27</v>
      </c>
      <c r="S211" t="s">
        <v>100</v>
      </c>
      <c r="T211">
        <v>23</v>
      </c>
      <c r="Y211" t="s">
        <v>57</v>
      </c>
      <c r="Z211">
        <v>11</v>
      </c>
      <c r="AA211" t="s">
        <v>79</v>
      </c>
      <c r="AD211" t="s">
        <v>27</v>
      </c>
      <c r="AG211" t="s">
        <v>27</v>
      </c>
      <c r="AJ211" t="s">
        <v>28</v>
      </c>
      <c r="AK211" t="s">
        <v>48</v>
      </c>
      <c r="AL211">
        <v>60</v>
      </c>
      <c r="AM211" t="s">
        <v>25</v>
      </c>
      <c r="AQ211" t="s">
        <v>62</v>
      </c>
      <c r="AR211">
        <v>7</v>
      </c>
    </row>
    <row r="212" spans="2:44" x14ac:dyDescent="0.55000000000000004">
      <c r="P212" t="s">
        <v>57</v>
      </c>
      <c r="Q212">
        <v>11</v>
      </c>
      <c r="R212" t="s">
        <v>28</v>
      </c>
      <c r="S212" t="s">
        <v>82</v>
      </c>
      <c r="T212">
        <v>47</v>
      </c>
      <c r="AA212" t="s">
        <v>27</v>
      </c>
      <c r="AD212" t="s">
        <v>28</v>
      </c>
      <c r="AE212" t="s">
        <v>136</v>
      </c>
      <c r="AF212">
        <v>48</v>
      </c>
      <c r="AG212" t="s">
        <v>28</v>
      </c>
      <c r="AK212" t="s">
        <v>137</v>
      </c>
      <c r="AL212">
        <v>50</v>
      </c>
      <c r="AM212" t="s">
        <v>77</v>
      </c>
      <c r="AQ212" t="s">
        <v>90</v>
      </c>
      <c r="AR212">
        <v>415</v>
      </c>
    </row>
    <row r="213" spans="2:44" x14ac:dyDescent="0.55000000000000004">
      <c r="P213" t="s">
        <v>56</v>
      </c>
      <c r="Q213">
        <v>87</v>
      </c>
      <c r="S213" t="s">
        <v>107</v>
      </c>
      <c r="T213">
        <v>46</v>
      </c>
      <c r="AA213" t="s">
        <v>28</v>
      </c>
      <c r="AB213" t="s">
        <v>90</v>
      </c>
      <c r="AC213">
        <v>77</v>
      </c>
      <c r="AM213" t="s">
        <v>79</v>
      </c>
      <c r="AQ213" t="s">
        <v>50</v>
      </c>
      <c r="AR213">
        <v>74</v>
      </c>
    </row>
    <row r="214" spans="2:44" x14ac:dyDescent="0.55000000000000004">
      <c r="P214" t="s">
        <v>65</v>
      </c>
      <c r="Q214">
        <v>86</v>
      </c>
      <c r="S214" t="s">
        <v>133</v>
      </c>
      <c r="T214">
        <v>7</v>
      </c>
      <c r="AM214" t="s">
        <v>27</v>
      </c>
      <c r="AQ214" t="s">
        <v>122</v>
      </c>
      <c r="AR214">
        <v>40</v>
      </c>
    </row>
    <row r="215" spans="2:44" x14ac:dyDescent="0.55000000000000004">
      <c r="S215" t="s">
        <v>50</v>
      </c>
      <c r="T215">
        <v>50</v>
      </c>
      <c r="AM215" t="s">
        <v>28</v>
      </c>
    </row>
    <row r="217" spans="2:44" x14ac:dyDescent="0.55000000000000004">
      <c r="I217" s="3" t="s">
        <v>4</v>
      </c>
      <c r="J217" s="4"/>
      <c r="K217" s="5"/>
      <c r="L217" s="3" t="s">
        <v>5</v>
      </c>
      <c r="M217" s="4"/>
      <c r="N217" s="5"/>
      <c r="O217" s="6" t="s">
        <v>6</v>
      </c>
      <c r="P217" s="7"/>
      <c r="Q217" s="5"/>
      <c r="R217" s="3" t="s">
        <v>7</v>
      </c>
      <c r="S217" s="4"/>
      <c r="T217" s="5"/>
      <c r="U217" s="6" t="s">
        <v>8</v>
      </c>
      <c r="V217" s="7"/>
      <c r="W217" s="5"/>
      <c r="X217" s="3" t="s">
        <v>9</v>
      </c>
      <c r="Y217" s="4"/>
      <c r="Z217" s="5"/>
      <c r="AA217" s="3" t="s">
        <v>10</v>
      </c>
      <c r="AB217" s="4"/>
      <c r="AC217" s="5"/>
      <c r="AD217" s="3" t="s">
        <v>11</v>
      </c>
      <c r="AE217" s="4"/>
      <c r="AF217" s="5"/>
      <c r="AG217" s="3" t="s">
        <v>12</v>
      </c>
      <c r="AH217" s="4"/>
      <c r="AI217" s="5"/>
      <c r="AJ217" s="3" t="s">
        <v>13</v>
      </c>
      <c r="AK217" s="4"/>
      <c r="AL217" s="5"/>
      <c r="AM217" s="3" t="s">
        <v>14</v>
      </c>
      <c r="AN217" s="4"/>
      <c r="AO217" s="5"/>
      <c r="AP217" s="3" t="s">
        <v>15</v>
      </c>
      <c r="AQ217" s="4"/>
      <c r="AR217" s="5"/>
    </row>
    <row r="218" spans="2:44" x14ac:dyDescent="0.55000000000000004">
      <c r="B218" s="28" t="s">
        <v>20</v>
      </c>
      <c r="E218" s="37"/>
      <c r="G218" s="37"/>
      <c r="I218" s="8" t="s">
        <v>16</v>
      </c>
      <c r="J218" s="8" t="s">
        <v>17</v>
      </c>
      <c r="K218" s="9" t="s">
        <v>3</v>
      </c>
      <c r="L218" s="8" t="s">
        <v>16</v>
      </c>
      <c r="M218" s="8" t="s">
        <v>17</v>
      </c>
      <c r="N218" s="9" t="s">
        <v>3</v>
      </c>
      <c r="O218" s="10" t="s">
        <v>16</v>
      </c>
      <c r="P218" s="10" t="s">
        <v>17</v>
      </c>
      <c r="Q218" s="9" t="s">
        <v>3</v>
      </c>
      <c r="R218" s="11" t="s">
        <v>16</v>
      </c>
      <c r="S218" s="11" t="s">
        <v>17</v>
      </c>
      <c r="T218" s="9" t="s">
        <v>3</v>
      </c>
      <c r="U218" s="10" t="s">
        <v>16</v>
      </c>
      <c r="V218" s="10" t="s">
        <v>17</v>
      </c>
      <c r="W218" s="9" t="s">
        <v>3</v>
      </c>
      <c r="X218" s="8" t="s">
        <v>16</v>
      </c>
      <c r="Y218" s="8" t="s">
        <v>17</v>
      </c>
      <c r="Z218" s="9" t="s">
        <v>3</v>
      </c>
      <c r="AA218" s="8" t="s">
        <v>16</v>
      </c>
      <c r="AB218" s="8" t="s">
        <v>17</v>
      </c>
      <c r="AC218" s="9" t="s">
        <v>3</v>
      </c>
      <c r="AD218" s="8" t="s">
        <v>16</v>
      </c>
      <c r="AE218" s="8" t="s">
        <v>17</v>
      </c>
      <c r="AF218" s="9" t="s">
        <v>3</v>
      </c>
      <c r="AG218" s="8" t="s">
        <v>16</v>
      </c>
      <c r="AH218" s="8" t="s">
        <v>17</v>
      </c>
      <c r="AI218" s="9" t="s">
        <v>3</v>
      </c>
      <c r="AJ218" s="8" t="s">
        <v>16</v>
      </c>
      <c r="AK218" s="8" t="s">
        <v>17</v>
      </c>
      <c r="AL218" s="9" t="s">
        <v>3</v>
      </c>
      <c r="AM218" s="8" t="s">
        <v>16</v>
      </c>
      <c r="AN218" s="8" t="s">
        <v>17</v>
      </c>
      <c r="AO218" s="9" t="s">
        <v>3</v>
      </c>
      <c r="AP218" s="8" t="s">
        <v>16</v>
      </c>
      <c r="AQ218" s="8" t="s">
        <v>17</v>
      </c>
      <c r="AR218" s="9" t="s">
        <v>3</v>
      </c>
    </row>
    <row r="219" spans="2:44" x14ac:dyDescent="0.55000000000000004">
      <c r="E219" s="32" t="s">
        <v>38</v>
      </c>
      <c r="F219" s="37"/>
      <c r="G219" s="32"/>
      <c r="I219" s="12"/>
      <c r="J219" s="13"/>
      <c r="K219" s="14"/>
      <c r="L219" s="12"/>
      <c r="M219" s="13"/>
      <c r="N219" s="14"/>
      <c r="O219" s="12"/>
      <c r="P219" s="13"/>
      <c r="Q219" s="14"/>
      <c r="R219" s="12"/>
      <c r="S219" s="13"/>
      <c r="T219" s="14"/>
      <c r="U219" s="12"/>
      <c r="V219" s="13"/>
      <c r="W219" s="14"/>
      <c r="X219" s="12"/>
      <c r="Y219" s="13"/>
      <c r="Z219" s="14"/>
      <c r="AA219" s="12"/>
      <c r="AB219" s="13"/>
      <c r="AC219" s="14"/>
      <c r="AD219" s="12"/>
      <c r="AE219" s="13"/>
      <c r="AF219" s="14"/>
      <c r="AG219" s="12"/>
      <c r="AH219" s="13"/>
      <c r="AI219" s="14"/>
      <c r="AJ219" s="12"/>
      <c r="AK219" s="13"/>
      <c r="AL219" s="14"/>
      <c r="AM219" s="12"/>
      <c r="AN219" s="13"/>
      <c r="AO219" s="14"/>
      <c r="AP219" s="12"/>
      <c r="AQ219" s="13"/>
      <c r="AR219" s="14"/>
    </row>
    <row r="220" spans="2:44" x14ac:dyDescent="0.55000000000000004">
      <c r="E220" s="1">
        <f>SUM(I220+L220+O220+R220+U220+X220+AA220+AD220+AG220+AJ220+AM220+AP220)</f>
        <v>75166940</v>
      </c>
      <c r="F220" s="32" t="s">
        <v>39</v>
      </c>
      <c r="G220" s="2">
        <f>SUM(F221/E220)</f>
        <v>0.3089107791271003</v>
      </c>
      <c r="I220" s="1">
        <v>4467600</v>
      </c>
      <c r="J220" s="1">
        <v>1461666</v>
      </c>
      <c r="K220" s="2">
        <f>SUM(J220/I220)</f>
        <v>0.3271702927746441</v>
      </c>
      <c r="L220" s="15">
        <v>1889540</v>
      </c>
      <c r="M220" s="15">
        <v>681960</v>
      </c>
      <c r="N220" s="2">
        <f>SUM(M220/L220)</f>
        <v>0.36091323814261672</v>
      </c>
      <c r="O220" s="16">
        <v>4367500</v>
      </c>
      <c r="P220" s="16">
        <v>1420215</v>
      </c>
      <c r="Q220" s="2">
        <f>SUM(P220/O220)</f>
        <v>0.32517801946193475</v>
      </c>
      <c r="R220" s="16">
        <v>9557400</v>
      </c>
      <c r="S220" s="16">
        <v>2778670</v>
      </c>
      <c r="T220" s="2">
        <f>SUM(S220/R220)</f>
        <v>0.29073492790926403</v>
      </c>
      <c r="U220" s="16">
        <v>3473500</v>
      </c>
      <c r="V220" s="16">
        <v>1159134</v>
      </c>
      <c r="W220" s="2">
        <f>SUM(V220/U220)</f>
        <v>0.33370778753418739</v>
      </c>
      <c r="X220" s="17">
        <v>6932300</v>
      </c>
      <c r="Y220" s="17">
        <v>1904275</v>
      </c>
      <c r="Z220" s="2">
        <f>SUM(Y220/X220)</f>
        <v>0.27469598834441672</v>
      </c>
      <c r="AA220" s="15">
        <v>3248500</v>
      </c>
      <c r="AB220" s="15">
        <v>1160727</v>
      </c>
      <c r="AC220" s="2">
        <f>SUM(AB220/AA220)</f>
        <v>0.35731168231491456</v>
      </c>
      <c r="AD220" s="15">
        <v>5842600</v>
      </c>
      <c r="AE220" s="15">
        <v>1919290</v>
      </c>
      <c r="AF220" s="2">
        <f>SUM(AE220/AD220)</f>
        <v>0.32849929825762503</v>
      </c>
      <c r="AG220" s="15">
        <v>2473600</v>
      </c>
      <c r="AH220" s="15">
        <v>802880</v>
      </c>
      <c r="AI220" s="2">
        <f>SUM(AH220/AG220)</f>
        <v>0.32457956015523931</v>
      </c>
      <c r="AJ220" s="31">
        <v>19796000</v>
      </c>
      <c r="AK220" s="31">
        <v>5380925</v>
      </c>
      <c r="AL220" s="2">
        <f>SUM(AK220/AJ220)</f>
        <v>0.271818801778137</v>
      </c>
      <c r="AM220" s="1">
        <v>4106900</v>
      </c>
      <c r="AN220" s="1">
        <v>1452940</v>
      </c>
      <c r="AO220" s="2">
        <f>SUM(AN220/AM220)</f>
        <v>0.35378022352626071</v>
      </c>
      <c r="AP220" s="15">
        <v>9011500</v>
      </c>
      <c r="AQ220" s="15">
        <v>3097196</v>
      </c>
      <c r="AR220" s="2">
        <f>SUM(AQ220/AP220)</f>
        <v>0.34369372468512455</v>
      </c>
    </row>
    <row r="221" spans="2:44" x14ac:dyDescent="0.55000000000000004">
      <c r="F221" s="1">
        <f>SUM(J220+M220+P220+S220+V220+Y220+AB220+AE220+AH220+AK220+AN220+AQ220)</f>
        <v>23219878</v>
      </c>
      <c r="G221">
        <f>SUM(K221+N221+Q221+T221+W221+Z221+AC221+AF221+AI221+AL221+AO221+AR221)</f>
        <v>125</v>
      </c>
      <c r="K221">
        <v>10</v>
      </c>
      <c r="N221">
        <v>9</v>
      </c>
      <c r="Q221">
        <v>12</v>
      </c>
      <c r="T221">
        <v>12</v>
      </c>
      <c r="W221">
        <v>8</v>
      </c>
      <c r="Z221">
        <v>12</v>
      </c>
      <c r="AC221">
        <v>6</v>
      </c>
      <c r="AF221">
        <v>13</v>
      </c>
      <c r="AI221">
        <v>9</v>
      </c>
      <c r="AL221">
        <v>12</v>
      </c>
      <c r="AO221">
        <v>8</v>
      </c>
      <c r="AR221">
        <v>14</v>
      </c>
    </row>
    <row r="222" spans="2:44" x14ac:dyDescent="0.55000000000000004">
      <c r="F222" t="s">
        <v>40</v>
      </c>
      <c r="L222" s="42">
        <f>SUM(I220+L220)</f>
        <v>6357140</v>
      </c>
      <c r="M222" s="42">
        <f>SUM(J220+M220)</f>
        <v>2143626</v>
      </c>
      <c r="N222" s="2">
        <f>SUM(M222/L222)</f>
        <v>0.33719974705606609</v>
      </c>
      <c r="O222" s="42">
        <f>SUM(I220+L220+O220)</f>
        <v>10724640</v>
      </c>
      <c r="P222" s="42">
        <f>SUM(J220+M220+P220)</f>
        <v>3563841</v>
      </c>
      <c r="Q222" s="2">
        <f>SUM(P222/O222)</f>
        <v>0.33230402139372511</v>
      </c>
      <c r="R222" s="42">
        <f>SUM(I220+L220+O220+R220)</f>
        <v>20282040</v>
      </c>
      <c r="S222" s="42">
        <f>SUM(M220+P220+S220+J220)</f>
        <v>6342511</v>
      </c>
      <c r="T222" s="2">
        <f>SUM(S222/R222)</f>
        <v>0.3127156341275335</v>
      </c>
      <c r="U222" s="42">
        <f>SUM(O220+R220+U220+I220+L220)</f>
        <v>23755540</v>
      </c>
      <c r="V222" s="42">
        <f>SUM(P220+S220+V220+M220+J220)</f>
        <v>7501645</v>
      </c>
      <c r="W222" s="2">
        <f>SUM(V222/U222)</f>
        <v>0.31578507581810389</v>
      </c>
      <c r="X222" s="42">
        <f>SUM(R220+U220+X220+L220+O220+I220)</f>
        <v>30687840</v>
      </c>
      <c r="Y222" s="42">
        <f>SUM(S220+V220+Y220+P220+M220+J220)</f>
        <v>9405920</v>
      </c>
      <c r="Z222" s="2">
        <f>SUM(Y222/X222)</f>
        <v>0.3065031621645577</v>
      </c>
      <c r="AA222" s="42">
        <f>SUM(L220+I220+U220+X220+AA220+O220+R220)</f>
        <v>33936340</v>
      </c>
      <c r="AB222" s="42">
        <f>SUM(M220+J220+V220+Y220+AB220+S220+P220)</f>
        <v>10566647</v>
      </c>
      <c r="AC222" s="2">
        <f>SUM(AB222/AA222)</f>
        <v>0.3113667236950125</v>
      </c>
      <c r="AD222" s="42">
        <f>SUM(O220+L220+I220+X220+AA220+AD220+R220+U220)</f>
        <v>39778940</v>
      </c>
      <c r="AE222" s="42">
        <f>SUM(P220+M220+J220+Y220+AB220+AE220+V220+S220)</f>
        <v>12485937</v>
      </c>
      <c r="AF222" s="2">
        <f>SUM(AE222/AD222)</f>
        <v>0.31388309995188407</v>
      </c>
      <c r="AG222" s="42">
        <f>SUM(R220+O220+L220+I220+AA220+AD220+AG220+U220+X220)</f>
        <v>42252540</v>
      </c>
      <c r="AH222" s="42">
        <f>SUM(S220+P220+M220+J220+AB220+AE220+AH220+Y220+V220)</f>
        <v>13288817</v>
      </c>
      <c r="AI222" s="2">
        <f>SUM(AH222/AG222)</f>
        <v>0.31450930523940102</v>
      </c>
      <c r="AJ222" s="42">
        <f>SUM(U220+R220+O220+L220+I220+AD220+AG220+AJ220+X220+AA220)</f>
        <v>62048540</v>
      </c>
      <c r="AK222" s="42">
        <f>SUM(V220+S220+P220+M220+J220+AE220+AH220+AK220+AB220+Y220)</f>
        <v>18669742</v>
      </c>
      <c r="AL222" s="2">
        <f>SUM(AK222/AJ222)</f>
        <v>0.30088930376121664</v>
      </c>
      <c r="AM222" s="42">
        <f>SUM(X220+U220+R220+O220+L220+I220+AG220+AJ220+AM220+AA220+AD220)</f>
        <v>66155440</v>
      </c>
      <c r="AN222" s="42">
        <f>SUM(Y220+V220+S220+P220+M220+J220+AH220+AK220+AN220+AE220+AB220)</f>
        <v>20122682</v>
      </c>
      <c r="AO222" s="2">
        <f>SUM(AN222/AM222)</f>
        <v>0.30417274830308738</v>
      </c>
      <c r="AP222" s="42">
        <f>SUM(AA220+X220+U220+R220+O220+L220+I220+AJ220+AM220+AP220+AD220+AG220)</f>
        <v>75166940</v>
      </c>
      <c r="AQ222" s="42">
        <f>SUM(AB220+Y220+V220+S220+P220+M220+J220+AK220+AN220+AQ220+AH220+AE220)</f>
        <v>23219878</v>
      </c>
      <c r="AR222" s="2">
        <f>SUM(AQ222/AP222)</f>
        <v>0.3089107791271003</v>
      </c>
    </row>
    <row r="223" spans="2:44" x14ac:dyDescent="0.55000000000000004">
      <c r="N223">
        <f>SUM(K221+N221)</f>
        <v>19</v>
      </c>
      <c r="O223" s="42"/>
      <c r="P223" s="42"/>
      <c r="Q223">
        <f>SUM(K221+N221+Q221)</f>
        <v>31</v>
      </c>
      <c r="R223" s="42"/>
      <c r="S223" s="42"/>
      <c r="T223">
        <f>SUM(N221+K221+Q221+T221)</f>
        <v>43</v>
      </c>
      <c r="U223" s="42"/>
      <c r="V223" s="42"/>
      <c r="W223">
        <f>SUM(Q221+N221+K221+T221+W221)</f>
        <v>51</v>
      </c>
      <c r="X223" s="42"/>
      <c r="Y223" s="42"/>
      <c r="Z223">
        <f>SUM(T221+Q221+N221+K221+W221+Z221)</f>
        <v>63</v>
      </c>
      <c r="AA223" s="42"/>
      <c r="AB223" s="42"/>
      <c r="AC223">
        <f>SUM(W221+T221+Q221+N221+K221+Z221+AC221)</f>
        <v>69</v>
      </c>
      <c r="AD223" s="42"/>
      <c r="AE223" s="42"/>
      <c r="AF223">
        <f>SUM(Z221+W221+T221+Q221+N221+K221+AC221+AF221)</f>
        <v>82</v>
      </c>
      <c r="AG223" s="42"/>
      <c r="AH223" s="42"/>
      <c r="AI223">
        <f>SUM(AC221+Z221+W221+T221+Q221+N221+K221+AF221+AI221)</f>
        <v>91</v>
      </c>
      <c r="AJ223" s="42"/>
      <c r="AK223" s="42"/>
      <c r="AL223">
        <f>SUM(AF221+AC221+Z221+W221+T221+Q221+N221+K221+AI221+AL221)</f>
        <v>103</v>
      </c>
      <c r="AM223" s="42"/>
      <c r="AN223" s="42"/>
      <c r="AO223">
        <f>SUM(AI221+AF221+AC221+Z221+W221+T221+Q221+N221+K221+AL221+AO221)</f>
        <v>111</v>
      </c>
      <c r="AP223" s="42"/>
      <c r="AQ223" s="42"/>
      <c r="AR223">
        <f>SUM(AL221+AI221+AF221+AC221+Z221+W221+T221+Q221+N221+K221+AO221+AR221)</f>
        <v>125</v>
      </c>
    </row>
    <row r="225" spans="4:44" x14ac:dyDescent="0.55000000000000004">
      <c r="D225" s="38"/>
      <c r="E225" t="s">
        <v>72</v>
      </c>
      <c r="F225">
        <f>SUM(K225+K226+K227+N225+Q225+T225+T226+W225+Z225+Z226+Z227+AF225+AL225+AO225+AO226+AR225+AR226+AR227)</f>
        <v>1386</v>
      </c>
      <c r="I225" t="s">
        <v>72</v>
      </c>
      <c r="J225" t="s">
        <v>64</v>
      </c>
      <c r="K225">
        <v>64</v>
      </c>
      <c r="L225" t="s">
        <v>73</v>
      </c>
      <c r="M225" t="s">
        <v>99</v>
      </c>
      <c r="N225">
        <v>17</v>
      </c>
      <c r="O225" t="s">
        <v>73</v>
      </c>
      <c r="P225" t="s">
        <v>61</v>
      </c>
      <c r="Q225">
        <v>56</v>
      </c>
      <c r="R225" t="s">
        <v>73</v>
      </c>
      <c r="S225" t="s">
        <v>106</v>
      </c>
      <c r="T225">
        <v>110</v>
      </c>
      <c r="U225" t="s">
        <v>73</v>
      </c>
      <c r="V225" t="s">
        <v>109</v>
      </c>
      <c r="W225">
        <v>66</v>
      </c>
      <c r="X225" t="s">
        <v>73</v>
      </c>
      <c r="Y225" t="s">
        <v>87</v>
      </c>
      <c r="Z225">
        <v>120</v>
      </c>
      <c r="AA225" t="s">
        <v>73</v>
      </c>
      <c r="AD225" t="s">
        <v>72</v>
      </c>
      <c r="AE225" t="s">
        <v>57</v>
      </c>
      <c r="AF225">
        <v>20</v>
      </c>
      <c r="AG225" t="s">
        <v>72</v>
      </c>
      <c r="AJ225" t="s">
        <v>72</v>
      </c>
      <c r="AK225" t="s">
        <v>49</v>
      </c>
      <c r="AL225">
        <v>17</v>
      </c>
      <c r="AM225" t="s">
        <v>72</v>
      </c>
      <c r="AN225" t="s">
        <v>50</v>
      </c>
      <c r="AO225">
        <v>99</v>
      </c>
      <c r="AP225" t="s">
        <v>72</v>
      </c>
      <c r="AQ225" t="s">
        <v>87</v>
      </c>
      <c r="AR225">
        <v>97</v>
      </c>
    </row>
    <row r="226" spans="4:44" x14ac:dyDescent="0.55000000000000004">
      <c r="E226" t="s">
        <v>22</v>
      </c>
      <c r="F226">
        <f>SUM(K228+K229+N226+Q226+Q227+T227+W226+Z228+AC226+AF226+AI226+AO227+AO228+AR228)</f>
        <v>302</v>
      </c>
      <c r="J226" t="s">
        <v>87</v>
      </c>
      <c r="K226">
        <v>155</v>
      </c>
      <c r="L226" t="s">
        <v>22</v>
      </c>
      <c r="M226" t="s">
        <v>100</v>
      </c>
      <c r="N226">
        <v>24</v>
      </c>
      <c r="O226" t="s">
        <v>22</v>
      </c>
      <c r="P226" t="s">
        <v>58</v>
      </c>
      <c r="Q226">
        <v>42</v>
      </c>
      <c r="S226" t="s">
        <v>87</v>
      </c>
      <c r="T226">
        <v>112</v>
      </c>
      <c r="U226" t="s">
        <v>22</v>
      </c>
      <c r="V226" t="s">
        <v>95</v>
      </c>
      <c r="W226">
        <v>7</v>
      </c>
      <c r="Y226" t="s">
        <v>87</v>
      </c>
      <c r="Z226">
        <v>72</v>
      </c>
      <c r="AA226" t="s">
        <v>22</v>
      </c>
      <c r="AB226" t="s">
        <v>95</v>
      </c>
      <c r="AC226">
        <v>7</v>
      </c>
      <c r="AD226" t="s">
        <v>22</v>
      </c>
      <c r="AE226" t="s">
        <v>80</v>
      </c>
      <c r="AF226">
        <v>5</v>
      </c>
      <c r="AG226" t="s">
        <v>22</v>
      </c>
      <c r="AH226" t="s">
        <v>67</v>
      </c>
      <c r="AI226">
        <v>22</v>
      </c>
      <c r="AJ226" t="s">
        <v>22</v>
      </c>
      <c r="AN226" t="s">
        <v>50</v>
      </c>
      <c r="AO226">
        <v>130</v>
      </c>
      <c r="AQ226" t="s">
        <v>87</v>
      </c>
      <c r="AR226">
        <v>103</v>
      </c>
    </row>
    <row r="227" spans="4:44" x14ac:dyDescent="0.55000000000000004">
      <c r="D227" s="38"/>
      <c r="E227" t="s">
        <v>23</v>
      </c>
      <c r="F227">
        <f>SUM(K230+N227+N228+N229+N230+Q228+Q229+Q230+Q231+T228+T229+T230+Z229+Z230+AC227+AF227+AF228+AF229+AI227+AI228+AL227+AL228+AO229+AR229)</f>
        <v>776</v>
      </c>
      <c r="J227" t="s">
        <v>87</v>
      </c>
      <c r="K227">
        <v>17</v>
      </c>
      <c r="L227" t="s">
        <v>23</v>
      </c>
      <c r="M227" t="s">
        <v>58</v>
      </c>
      <c r="N227">
        <v>26</v>
      </c>
      <c r="P227" t="s">
        <v>82</v>
      </c>
      <c r="Q227">
        <v>15</v>
      </c>
      <c r="R227" t="s">
        <v>22</v>
      </c>
      <c r="S227" t="s">
        <v>82</v>
      </c>
      <c r="T227">
        <v>3</v>
      </c>
      <c r="U227" t="s">
        <v>23</v>
      </c>
      <c r="Y227" t="s">
        <v>87</v>
      </c>
      <c r="Z227">
        <v>98</v>
      </c>
      <c r="AA227" t="s">
        <v>23</v>
      </c>
      <c r="AB227" t="s">
        <v>57</v>
      </c>
      <c r="AC227">
        <v>26</v>
      </c>
      <c r="AD227" t="s">
        <v>23</v>
      </c>
      <c r="AE227" t="s">
        <v>82</v>
      </c>
      <c r="AF227">
        <v>19</v>
      </c>
      <c r="AG227" t="s">
        <v>23</v>
      </c>
      <c r="AH227" t="s">
        <v>100</v>
      </c>
      <c r="AI227">
        <v>23</v>
      </c>
      <c r="AJ227" t="s">
        <v>23</v>
      </c>
      <c r="AK227" t="s">
        <v>120</v>
      </c>
      <c r="AL227">
        <v>66</v>
      </c>
      <c r="AM227" t="s">
        <v>22</v>
      </c>
      <c r="AN227" t="s">
        <v>100</v>
      </c>
      <c r="AO227">
        <v>35</v>
      </c>
      <c r="AQ227" t="s">
        <v>128</v>
      </c>
      <c r="AR227">
        <v>33</v>
      </c>
    </row>
    <row r="228" spans="4:44" x14ac:dyDescent="0.55000000000000004">
      <c r="E228" t="s">
        <v>76</v>
      </c>
      <c r="F228">
        <f>SUM(K231+K232+N231+Q232+Q233+Q234+T231+W228+Z231+Z232+Z233+AC228+AF230+AF231+AF232+AF233+AF234+AI229+AL229+AL230+AO230+AO231+AR230)</f>
        <v>2719</v>
      </c>
      <c r="I228" t="s">
        <v>22</v>
      </c>
      <c r="J228" t="s">
        <v>59</v>
      </c>
      <c r="K228">
        <v>31</v>
      </c>
      <c r="M228" t="s">
        <v>57</v>
      </c>
      <c r="N228">
        <v>28</v>
      </c>
      <c r="O228" t="s">
        <v>23</v>
      </c>
      <c r="P228" t="s">
        <v>102</v>
      </c>
      <c r="Q228">
        <v>90</v>
      </c>
      <c r="R228" t="s">
        <v>23</v>
      </c>
      <c r="S228" t="s">
        <v>64</v>
      </c>
      <c r="T228">
        <v>49</v>
      </c>
      <c r="U228" t="s">
        <v>24</v>
      </c>
      <c r="V228" t="s">
        <v>110</v>
      </c>
      <c r="W228">
        <v>140</v>
      </c>
      <c r="X228" t="s">
        <v>22</v>
      </c>
      <c r="Y228" t="s">
        <v>111</v>
      </c>
      <c r="Z228">
        <v>47</v>
      </c>
      <c r="AA228" t="s">
        <v>76</v>
      </c>
      <c r="AB228" t="s">
        <v>116</v>
      </c>
      <c r="AC228">
        <v>50</v>
      </c>
      <c r="AE228" t="s">
        <v>65</v>
      </c>
      <c r="AF228">
        <v>86</v>
      </c>
      <c r="AH228" t="s">
        <v>95</v>
      </c>
      <c r="AI228">
        <v>12</v>
      </c>
      <c r="AK228" t="s">
        <v>57</v>
      </c>
      <c r="AL228">
        <v>28</v>
      </c>
      <c r="AN228" t="s">
        <v>57</v>
      </c>
      <c r="AO228">
        <v>31</v>
      </c>
      <c r="AP228" t="s">
        <v>22</v>
      </c>
      <c r="AQ228" t="s">
        <v>80</v>
      </c>
      <c r="AR228">
        <v>6</v>
      </c>
    </row>
    <row r="229" spans="4:44" x14ac:dyDescent="0.55000000000000004">
      <c r="D229" s="38"/>
      <c r="E229" t="s">
        <v>25</v>
      </c>
      <c r="F229">
        <f>SUM(N232+Q235+Z234+AC229+AC230+AI230)</f>
        <v>353</v>
      </c>
      <c r="J229" t="s">
        <v>57</v>
      </c>
      <c r="K229">
        <v>27</v>
      </c>
      <c r="M229" t="s">
        <v>49</v>
      </c>
      <c r="N229">
        <v>4</v>
      </c>
      <c r="P229" t="s">
        <v>96</v>
      </c>
      <c r="Q229">
        <v>15</v>
      </c>
      <c r="S229" t="s">
        <v>58</v>
      </c>
      <c r="T229">
        <v>25</v>
      </c>
      <c r="U229" t="s">
        <v>25</v>
      </c>
      <c r="X229" t="s">
        <v>23</v>
      </c>
      <c r="Y229" t="s">
        <v>57</v>
      </c>
      <c r="Z229">
        <v>27</v>
      </c>
      <c r="AA229" t="s">
        <v>25</v>
      </c>
      <c r="AB229" t="s">
        <v>50</v>
      </c>
      <c r="AC229">
        <v>145</v>
      </c>
      <c r="AE229" t="s">
        <v>80</v>
      </c>
      <c r="AF229">
        <v>29</v>
      </c>
      <c r="AG229" t="s">
        <v>76</v>
      </c>
      <c r="AH229" t="s">
        <v>65</v>
      </c>
      <c r="AI229">
        <v>130</v>
      </c>
      <c r="AJ229" t="s">
        <v>76</v>
      </c>
      <c r="AK229" t="s">
        <v>50</v>
      </c>
      <c r="AL229">
        <v>880</v>
      </c>
      <c r="AM229" t="s">
        <v>23</v>
      </c>
      <c r="AN229" t="s">
        <v>57</v>
      </c>
      <c r="AO229">
        <v>28</v>
      </c>
      <c r="AP229" t="s">
        <v>23</v>
      </c>
      <c r="AQ229" t="s">
        <v>57</v>
      </c>
      <c r="AR229">
        <v>9</v>
      </c>
    </row>
    <row r="230" spans="4:44" x14ac:dyDescent="0.55000000000000004">
      <c r="E230" t="s">
        <v>77</v>
      </c>
      <c r="F230">
        <f>SUM(T233+W230+AL232+AL233+AR231)</f>
        <v>666</v>
      </c>
      <c r="I230" t="s">
        <v>23</v>
      </c>
      <c r="J230" t="s">
        <v>57</v>
      </c>
      <c r="K230">
        <v>27</v>
      </c>
      <c r="M230" t="s">
        <v>101</v>
      </c>
      <c r="N230">
        <v>16</v>
      </c>
      <c r="P230" t="s">
        <v>103</v>
      </c>
      <c r="Q230">
        <v>38</v>
      </c>
      <c r="S230" t="s">
        <v>65</v>
      </c>
      <c r="T230">
        <v>79</v>
      </c>
      <c r="U230" t="s">
        <v>78</v>
      </c>
      <c r="V230" t="s">
        <v>58</v>
      </c>
      <c r="W230">
        <v>19</v>
      </c>
      <c r="Y230" t="s">
        <v>58</v>
      </c>
      <c r="Z230">
        <v>22</v>
      </c>
      <c r="AB230" t="s">
        <v>64</v>
      </c>
      <c r="AC230">
        <v>42</v>
      </c>
      <c r="AD230" t="s">
        <v>76</v>
      </c>
      <c r="AE230" t="s">
        <v>59</v>
      </c>
      <c r="AF230">
        <v>55</v>
      </c>
      <c r="AG230" t="s">
        <v>25</v>
      </c>
      <c r="AH230" t="s">
        <v>64</v>
      </c>
      <c r="AI230">
        <v>49</v>
      </c>
      <c r="AK230" t="s">
        <v>90</v>
      </c>
      <c r="AL230">
        <v>330</v>
      </c>
      <c r="AM230" t="s">
        <v>76</v>
      </c>
      <c r="AN230" t="s">
        <v>82</v>
      </c>
      <c r="AO230">
        <v>22</v>
      </c>
      <c r="AP230" t="s">
        <v>76</v>
      </c>
      <c r="AQ230" t="s">
        <v>60</v>
      </c>
      <c r="AR230">
        <v>60</v>
      </c>
    </row>
    <row r="231" spans="4:44" x14ac:dyDescent="0.55000000000000004">
      <c r="E231" t="s">
        <v>79</v>
      </c>
      <c r="F231">
        <f>SUM(W231)</f>
        <v>15</v>
      </c>
      <c r="I231" t="s">
        <v>76</v>
      </c>
      <c r="J231" t="s">
        <v>82</v>
      </c>
      <c r="K231">
        <v>22</v>
      </c>
      <c r="L231" t="s">
        <v>24</v>
      </c>
      <c r="M231" t="s">
        <v>48</v>
      </c>
      <c r="N231">
        <v>28</v>
      </c>
      <c r="P231" t="s">
        <v>62</v>
      </c>
      <c r="Q231">
        <v>4</v>
      </c>
      <c r="R231" t="s">
        <v>24</v>
      </c>
      <c r="S231" t="s">
        <v>87</v>
      </c>
      <c r="T231">
        <v>330</v>
      </c>
      <c r="U231" t="s">
        <v>79</v>
      </c>
      <c r="V231" t="s">
        <v>67</v>
      </c>
      <c r="W231">
        <v>15</v>
      </c>
      <c r="X231" t="s">
        <v>24</v>
      </c>
      <c r="Y231" t="s">
        <v>65</v>
      </c>
      <c r="Z231">
        <v>140</v>
      </c>
      <c r="AA231" t="s">
        <v>77</v>
      </c>
      <c r="AE231" t="s">
        <v>118</v>
      </c>
      <c r="AF231">
        <v>24</v>
      </c>
      <c r="AG231" t="s">
        <v>77</v>
      </c>
      <c r="AJ231" t="s">
        <v>25</v>
      </c>
      <c r="AN231" t="s">
        <v>48</v>
      </c>
      <c r="AO231">
        <v>50</v>
      </c>
      <c r="AP231" t="s">
        <v>77</v>
      </c>
      <c r="AQ231" t="s">
        <v>124</v>
      </c>
      <c r="AR231">
        <v>230</v>
      </c>
    </row>
    <row r="232" spans="4:44" x14ac:dyDescent="0.55000000000000004">
      <c r="E232" t="s">
        <v>27</v>
      </c>
      <c r="F232">
        <f>SUM(T235+T236+W232+AL234+AO235+AR232)</f>
        <v>331</v>
      </c>
      <c r="J232" t="s">
        <v>81</v>
      </c>
      <c r="K232">
        <v>14</v>
      </c>
      <c r="L232" t="s">
        <v>25</v>
      </c>
      <c r="M232" t="s">
        <v>101</v>
      </c>
      <c r="N232">
        <v>20</v>
      </c>
      <c r="O232" t="s">
        <v>24</v>
      </c>
      <c r="P232" t="s">
        <v>104</v>
      </c>
      <c r="Q232">
        <v>20</v>
      </c>
      <c r="R232" t="s">
        <v>25</v>
      </c>
      <c r="U232" t="s">
        <v>27</v>
      </c>
      <c r="V232" t="s">
        <v>112</v>
      </c>
      <c r="W232">
        <v>50</v>
      </c>
      <c r="Y232" t="s">
        <v>59</v>
      </c>
      <c r="Z232">
        <v>72</v>
      </c>
      <c r="AA232" t="s">
        <v>79</v>
      </c>
      <c r="AE232" t="s">
        <v>60</v>
      </c>
      <c r="AF232">
        <v>40</v>
      </c>
      <c r="AG232" t="s">
        <v>79</v>
      </c>
      <c r="AJ232" t="s">
        <v>77</v>
      </c>
      <c r="AK232" t="s">
        <v>121</v>
      </c>
      <c r="AL232">
        <v>310</v>
      </c>
      <c r="AM232" t="s">
        <v>25</v>
      </c>
      <c r="AP232" t="s">
        <v>27</v>
      </c>
      <c r="AQ232" t="s">
        <v>117</v>
      </c>
      <c r="AR232">
        <v>35</v>
      </c>
    </row>
    <row r="233" spans="4:44" x14ac:dyDescent="0.55000000000000004">
      <c r="E233" t="s">
        <v>28</v>
      </c>
      <c r="F233">
        <f>SUM(K237+Q236+T237+T238+W233+W234+AC234+AF235+AF236+AF237+AI234+AL235+AL236+AL237+AL238+AR233+AR234+AR235+AR236+AR237+AR238)</f>
        <v>898</v>
      </c>
      <c r="I233" t="s">
        <v>25</v>
      </c>
      <c r="P233" t="s">
        <v>105</v>
      </c>
      <c r="Q233">
        <v>60</v>
      </c>
      <c r="R233" t="s">
        <v>78</v>
      </c>
      <c r="S233" t="s">
        <v>71</v>
      </c>
      <c r="T233">
        <v>53</v>
      </c>
      <c r="U233" t="s">
        <v>28</v>
      </c>
      <c r="V233" t="s">
        <v>113</v>
      </c>
      <c r="W233">
        <v>25</v>
      </c>
      <c r="Y233" t="s">
        <v>114</v>
      </c>
      <c r="Z233">
        <v>60</v>
      </c>
      <c r="AA233" t="s">
        <v>27</v>
      </c>
      <c r="AE233" t="s">
        <v>65</v>
      </c>
      <c r="AF233">
        <v>97</v>
      </c>
      <c r="AG233" t="s">
        <v>27</v>
      </c>
      <c r="AK233" t="s">
        <v>64</v>
      </c>
      <c r="AL233">
        <v>54</v>
      </c>
      <c r="AM233" t="s">
        <v>77</v>
      </c>
      <c r="AP233" t="s">
        <v>28</v>
      </c>
      <c r="AQ233" t="s">
        <v>123</v>
      </c>
      <c r="AR233">
        <v>52</v>
      </c>
    </row>
    <row r="234" spans="4:44" x14ac:dyDescent="0.55000000000000004">
      <c r="D234" s="38"/>
      <c r="I234" t="s">
        <v>77</v>
      </c>
      <c r="P234" t="s">
        <v>57</v>
      </c>
      <c r="Q234">
        <v>18</v>
      </c>
      <c r="R234" t="s">
        <v>79</v>
      </c>
      <c r="V234" t="s">
        <v>58</v>
      </c>
      <c r="W234">
        <v>25</v>
      </c>
      <c r="X234" t="s">
        <v>25</v>
      </c>
      <c r="Y234" t="s">
        <v>57</v>
      </c>
      <c r="Z234">
        <v>35</v>
      </c>
      <c r="AA234" t="s">
        <v>28</v>
      </c>
      <c r="AB234" t="s">
        <v>115</v>
      </c>
      <c r="AC234">
        <v>54</v>
      </c>
      <c r="AE234" t="s">
        <v>87</v>
      </c>
      <c r="AF234">
        <v>77</v>
      </c>
      <c r="AG234" t="s">
        <v>28</v>
      </c>
      <c r="AH234" t="s">
        <v>96</v>
      </c>
      <c r="AI234">
        <v>11</v>
      </c>
      <c r="AJ234" t="s">
        <v>27</v>
      </c>
      <c r="AK234" t="s">
        <v>66</v>
      </c>
      <c r="AL234">
        <v>89</v>
      </c>
      <c r="AM234" t="s">
        <v>79</v>
      </c>
      <c r="AQ234" t="s">
        <v>49</v>
      </c>
      <c r="AR234">
        <v>21</v>
      </c>
    </row>
    <row r="235" spans="4:44" x14ac:dyDescent="0.55000000000000004">
      <c r="I235" t="s">
        <v>79</v>
      </c>
      <c r="O235" t="s">
        <v>25</v>
      </c>
      <c r="P235" t="s">
        <v>87</v>
      </c>
      <c r="Q235">
        <v>62</v>
      </c>
      <c r="R235" t="s">
        <v>27</v>
      </c>
      <c r="S235" t="s">
        <v>48</v>
      </c>
      <c r="T235">
        <v>51</v>
      </c>
      <c r="AD235" t="s">
        <v>28</v>
      </c>
      <c r="AE235" t="s">
        <v>119</v>
      </c>
      <c r="AF235">
        <v>24</v>
      </c>
      <c r="AJ235" t="s">
        <v>28</v>
      </c>
      <c r="AK235" t="s">
        <v>122</v>
      </c>
      <c r="AL235">
        <v>53</v>
      </c>
      <c r="AM235" t="s">
        <v>27</v>
      </c>
      <c r="AN235" t="s">
        <v>95</v>
      </c>
      <c r="AO235">
        <v>16</v>
      </c>
      <c r="AQ235" t="s">
        <v>48</v>
      </c>
      <c r="AR235">
        <v>20</v>
      </c>
    </row>
    <row r="236" spans="4:44" x14ac:dyDescent="0.55000000000000004">
      <c r="D236" s="38"/>
      <c r="I236" t="s">
        <v>27</v>
      </c>
      <c r="O236" t="s">
        <v>28</v>
      </c>
      <c r="P236" t="s">
        <v>57</v>
      </c>
      <c r="Q236">
        <v>21</v>
      </c>
      <c r="S236" t="s">
        <v>84</v>
      </c>
      <c r="T236">
        <v>90</v>
      </c>
      <c r="AE236" t="s">
        <v>48</v>
      </c>
      <c r="AF236">
        <v>43</v>
      </c>
      <c r="AK236" t="s">
        <v>123</v>
      </c>
      <c r="AL236">
        <v>33</v>
      </c>
      <c r="AM236" t="s">
        <v>28</v>
      </c>
      <c r="AQ236" t="s">
        <v>126</v>
      </c>
      <c r="AR236">
        <v>100</v>
      </c>
    </row>
    <row r="237" spans="4:44" x14ac:dyDescent="0.55000000000000004">
      <c r="I237" t="s">
        <v>28</v>
      </c>
      <c r="J237" t="s">
        <v>87</v>
      </c>
      <c r="K237">
        <v>73</v>
      </c>
      <c r="R237" t="s">
        <v>28</v>
      </c>
      <c r="S237" t="s">
        <v>107</v>
      </c>
      <c r="T237">
        <v>40</v>
      </c>
      <c r="AE237" t="s">
        <v>48</v>
      </c>
      <c r="AF237">
        <v>66</v>
      </c>
      <c r="AK237" t="s">
        <v>113</v>
      </c>
      <c r="AL237">
        <v>37</v>
      </c>
      <c r="AQ237" t="s">
        <v>127</v>
      </c>
      <c r="AR237">
        <v>93</v>
      </c>
    </row>
    <row r="238" spans="4:44" x14ac:dyDescent="0.55000000000000004">
      <c r="S238" t="s">
        <v>108</v>
      </c>
      <c r="T238">
        <v>15</v>
      </c>
      <c r="AK238" t="s">
        <v>48</v>
      </c>
      <c r="AL238">
        <v>50</v>
      </c>
      <c r="AQ238" t="s">
        <v>122</v>
      </c>
      <c r="AR238">
        <v>42</v>
      </c>
    </row>
    <row r="239" spans="4:44" x14ac:dyDescent="0.55000000000000004">
      <c r="D239" s="38"/>
    </row>
    <row r="240" spans="4:44" x14ac:dyDescent="0.55000000000000004">
      <c r="D240" s="39"/>
      <c r="E240" s="38" t="s">
        <v>43</v>
      </c>
      <c r="G240" s="39" t="s">
        <v>45</v>
      </c>
    </row>
    <row r="241" spans="2:44" x14ac:dyDescent="0.55000000000000004">
      <c r="D241" s="39"/>
      <c r="E241" s="40">
        <v>65000000</v>
      </c>
      <c r="F241" s="39" t="s">
        <v>44</v>
      </c>
      <c r="G241" s="41">
        <f>F242/E241</f>
        <v>0.35</v>
      </c>
      <c r="H241" s="41"/>
      <c r="I241" s="3" t="s">
        <v>4</v>
      </c>
      <c r="J241" s="4"/>
      <c r="K241" s="5"/>
      <c r="L241" s="3" t="s">
        <v>5</v>
      </c>
      <c r="M241" s="4"/>
      <c r="N241" s="5"/>
      <c r="O241" s="6" t="s">
        <v>6</v>
      </c>
      <c r="P241" s="7"/>
      <c r="Q241" s="5"/>
      <c r="R241" s="3" t="s">
        <v>7</v>
      </c>
      <c r="S241" s="4"/>
      <c r="T241" s="5"/>
      <c r="U241" s="6" t="s">
        <v>8</v>
      </c>
      <c r="V241" s="7"/>
      <c r="W241" s="5"/>
      <c r="X241" s="3" t="s">
        <v>9</v>
      </c>
      <c r="Y241" s="4"/>
      <c r="Z241" s="5"/>
      <c r="AA241" s="3" t="s">
        <v>10</v>
      </c>
      <c r="AB241" s="4"/>
      <c r="AC241" s="5"/>
      <c r="AD241" s="3" t="s">
        <v>11</v>
      </c>
      <c r="AE241" s="4"/>
      <c r="AF241" s="5"/>
      <c r="AG241" s="3" t="s">
        <v>12</v>
      </c>
      <c r="AH241" s="4"/>
      <c r="AI241" s="5"/>
      <c r="AJ241" s="3" t="s">
        <v>13</v>
      </c>
      <c r="AK241" s="4"/>
      <c r="AL241" s="5"/>
      <c r="AM241" s="3" t="s">
        <v>14</v>
      </c>
      <c r="AN241" s="4"/>
      <c r="AO241" s="5"/>
      <c r="AP241" s="3" t="s">
        <v>15</v>
      </c>
      <c r="AQ241" s="4"/>
      <c r="AR241" s="5"/>
    </row>
    <row r="242" spans="2:44" x14ac:dyDescent="0.55000000000000004">
      <c r="B242" s="28" t="s">
        <v>21</v>
      </c>
      <c r="E242" s="37"/>
      <c r="F242" s="40">
        <v>22750000</v>
      </c>
      <c r="G242" s="37"/>
      <c r="I242" s="8" t="s">
        <v>16</v>
      </c>
      <c r="J242" s="8" t="s">
        <v>17</v>
      </c>
      <c r="K242" s="9" t="s">
        <v>3</v>
      </c>
      <c r="L242" s="8" t="s">
        <v>16</v>
      </c>
      <c r="M242" s="8" t="s">
        <v>17</v>
      </c>
      <c r="N242" s="9" t="s">
        <v>3</v>
      </c>
      <c r="O242" s="10" t="s">
        <v>16</v>
      </c>
      <c r="P242" s="10" t="s">
        <v>17</v>
      </c>
      <c r="Q242" s="9" t="s">
        <v>3</v>
      </c>
      <c r="R242" s="11" t="s">
        <v>16</v>
      </c>
      <c r="S242" s="11" t="s">
        <v>17</v>
      </c>
      <c r="T242" s="9" t="s">
        <v>3</v>
      </c>
      <c r="U242" s="10" t="s">
        <v>16</v>
      </c>
      <c r="V242" s="10" t="s">
        <v>17</v>
      </c>
      <c r="W242" s="9" t="s">
        <v>3</v>
      </c>
      <c r="X242" s="8" t="s">
        <v>16</v>
      </c>
      <c r="Y242" s="8" t="s">
        <v>17</v>
      </c>
      <c r="Z242" s="9" t="s">
        <v>3</v>
      </c>
      <c r="AA242" s="8" t="s">
        <v>16</v>
      </c>
      <c r="AB242" s="8" t="s">
        <v>17</v>
      </c>
      <c r="AC242" s="9" t="s">
        <v>3</v>
      </c>
      <c r="AD242" s="8" t="s">
        <v>16</v>
      </c>
      <c r="AE242" s="8" t="s">
        <v>17</v>
      </c>
      <c r="AF242" s="9" t="s">
        <v>3</v>
      </c>
      <c r="AG242" s="8" t="s">
        <v>16</v>
      </c>
      <c r="AH242" s="8" t="s">
        <v>17</v>
      </c>
      <c r="AI242" s="9" t="s">
        <v>3</v>
      </c>
      <c r="AJ242" s="8" t="s">
        <v>16</v>
      </c>
      <c r="AK242" s="8" t="s">
        <v>17</v>
      </c>
      <c r="AL242" s="9" t="s">
        <v>3</v>
      </c>
      <c r="AM242" s="8" t="s">
        <v>16</v>
      </c>
      <c r="AN242" s="8" t="s">
        <v>17</v>
      </c>
      <c r="AO242" s="9" t="s">
        <v>3</v>
      </c>
      <c r="AP242" s="8" t="s">
        <v>16</v>
      </c>
      <c r="AQ242" s="8" t="s">
        <v>17</v>
      </c>
      <c r="AR242" s="9" t="s">
        <v>3</v>
      </c>
    </row>
    <row r="243" spans="2:44" ht="18.5" thickBot="1" x14ac:dyDescent="0.6">
      <c r="E243" s="32" t="s">
        <v>38</v>
      </c>
      <c r="F243" s="37"/>
      <c r="G243" s="32"/>
      <c r="I243" s="12"/>
      <c r="J243" s="13"/>
      <c r="K243" s="14"/>
      <c r="L243" s="12"/>
      <c r="M243" s="13"/>
      <c r="N243" s="14"/>
      <c r="O243" s="12"/>
      <c r="P243" s="13"/>
      <c r="Q243" s="14"/>
      <c r="R243" s="12"/>
      <c r="S243" s="13"/>
      <c r="T243" s="14"/>
      <c r="U243" s="12"/>
      <c r="V243" s="13"/>
      <c r="W243" s="14"/>
      <c r="X243" s="12"/>
      <c r="Y243" s="13"/>
      <c r="Z243" s="14"/>
      <c r="AA243" s="12"/>
      <c r="AB243" s="13"/>
      <c r="AC243" s="14"/>
      <c r="AD243" s="12"/>
      <c r="AE243" s="13"/>
      <c r="AF243" s="14"/>
      <c r="AG243" s="12"/>
      <c r="AH243" s="13"/>
      <c r="AI243" s="14"/>
      <c r="AJ243" s="12"/>
      <c r="AK243" s="13"/>
      <c r="AL243" s="14"/>
      <c r="AM243" s="12"/>
      <c r="AN243" s="13"/>
      <c r="AO243" s="14"/>
      <c r="AP243" s="12"/>
      <c r="AQ243" s="13"/>
      <c r="AR243" s="14"/>
    </row>
    <row r="244" spans="2:44" ht="18.5" thickBot="1" x14ac:dyDescent="0.6">
      <c r="E244" s="29">
        <f>SUM(I244+L244+O244+R244+U244+X244+AA244+AD244+AG244+AJ244+AM244+AP244)</f>
        <v>30718220</v>
      </c>
      <c r="F244" s="32" t="s">
        <v>39</v>
      </c>
      <c r="G244" s="36">
        <f>F245/E244</f>
        <v>0.35234222555864242</v>
      </c>
      <c r="I244" s="1">
        <v>2180000</v>
      </c>
      <c r="J244" s="1">
        <v>764815</v>
      </c>
      <c r="K244" s="2">
        <f>J244/I244</f>
        <v>0.35083256880733943</v>
      </c>
      <c r="L244" s="15">
        <v>2052100</v>
      </c>
      <c r="M244" s="15">
        <v>700244</v>
      </c>
      <c r="N244" s="2">
        <f>SUM(M244/L244)</f>
        <v>0.34123288338774915</v>
      </c>
      <c r="O244" s="16">
        <v>1007820</v>
      </c>
      <c r="P244" s="16">
        <v>296570</v>
      </c>
      <c r="Q244" s="2">
        <f>SUM(P244/O244)</f>
        <v>0.29426881784445635</v>
      </c>
      <c r="R244" s="16">
        <v>3042000</v>
      </c>
      <c r="S244" s="16">
        <v>1093070</v>
      </c>
      <c r="T244" s="2">
        <f>SUM(S244/R244)</f>
        <v>0.35932610124917819</v>
      </c>
      <c r="U244" s="16">
        <v>2983200</v>
      </c>
      <c r="V244" s="16">
        <v>1027400</v>
      </c>
      <c r="W244" s="2">
        <f>SUM(V244/U244)</f>
        <v>0.3443952802359882</v>
      </c>
      <c r="X244" s="17">
        <v>2245000</v>
      </c>
      <c r="Y244" s="17">
        <v>685192</v>
      </c>
      <c r="Z244" s="2">
        <f>SUM(Y244/X244)</f>
        <v>0.30520801781737195</v>
      </c>
      <c r="AA244" s="15">
        <v>9074500</v>
      </c>
      <c r="AB244" s="15">
        <v>3789710</v>
      </c>
      <c r="AC244" s="2">
        <f>SUM(AB244/AA244)</f>
        <v>0.41762190754311534</v>
      </c>
      <c r="AD244" s="15">
        <v>5193600</v>
      </c>
      <c r="AE244" s="15">
        <v>1583025</v>
      </c>
      <c r="AF244" s="2">
        <f>SUM(AE244/AD244)</f>
        <v>0.3048030268022181</v>
      </c>
      <c r="AG244" s="15">
        <v>2940000</v>
      </c>
      <c r="AH244" s="15">
        <v>883300</v>
      </c>
      <c r="AI244" s="2">
        <f>SUM(AH244/AG244)</f>
        <v>0.30044217687074831</v>
      </c>
      <c r="AJ244" s="31"/>
      <c r="AK244" s="31"/>
      <c r="AL244" s="2" t="e">
        <f>SUM(AK244/AJ244)</f>
        <v>#DIV/0!</v>
      </c>
      <c r="AM244" s="1"/>
      <c r="AN244" s="1"/>
      <c r="AO244" s="2" t="e">
        <f>SUM(AN244/AM244)</f>
        <v>#DIV/0!</v>
      </c>
      <c r="AP244" s="15"/>
      <c r="AQ244" s="15"/>
      <c r="AR244" s="2" t="e">
        <f>SUM(AQ244/AP244)</f>
        <v>#DIV/0!</v>
      </c>
    </row>
    <row r="245" spans="2:44" ht="18.5" thickBot="1" x14ac:dyDescent="0.6">
      <c r="F245" s="29">
        <f>SUM(J244+M244+P244+S244+V244+Y244+AB244+AE244+AH244+AK244+AN244+AQ244)</f>
        <v>10823326</v>
      </c>
      <c r="G245">
        <f>SUM(K245+N245+Q245+T245+W245+Z245+AC245+AF245+AI245+AL245+AO245+AR245)</f>
        <v>54</v>
      </c>
      <c r="K245">
        <v>7</v>
      </c>
      <c r="N245">
        <v>4</v>
      </c>
      <c r="Q245">
        <v>4</v>
      </c>
      <c r="T245">
        <v>5</v>
      </c>
      <c r="W245">
        <v>5</v>
      </c>
      <c r="Z245">
        <v>5</v>
      </c>
      <c r="AC245">
        <v>10</v>
      </c>
      <c r="AF245">
        <v>12</v>
      </c>
      <c r="AI245">
        <v>2</v>
      </c>
    </row>
    <row r="246" spans="2:44" x14ac:dyDescent="0.55000000000000004">
      <c r="E246" s="48">
        <f>SUM(E244/E241)</f>
        <v>0.47258800000000001</v>
      </c>
      <c r="F246" t="s">
        <v>40</v>
      </c>
      <c r="L246" s="42">
        <f>SUM(I244+L244)</f>
        <v>4232100</v>
      </c>
      <c r="M246" s="42">
        <f>SUM(J244+M244)</f>
        <v>1465059</v>
      </c>
      <c r="N246" s="2">
        <f>SUM(M246/L246)</f>
        <v>0.3461777840788261</v>
      </c>
      <c r="O246" s="42">
        <f>SUM(I244+L244+O244)</f>
        <v>5239920</v>
      </c>
      <c r="P246" s="42">
        <f>SUM(J244+M244+P244)</f>
        <v>1761629</v>
      </c>
      <c r="Q246" s="2">
        <f>SUM(P246/O246)</f>
        <v>0.33619387318890365</v>
      </c>
      <c r="R246" s="42">
        <f>SUM(I244+L244+O244+R244)</f>
        <v>8281920</v>
      </c>
      <c r="S246" s="42">
        <f>SUM(M244+P244+S244+J244)</f>
        <v>2854699</v>
      </c>
      <c r="T246" s="2">
        <f>SUM(S246/R246)</f>
        <v>0.34469048240021638</v>
      </c>
      <c r="U246" s="42">
        <f>SUM(O244+R244+U244+I244+L244)</f>
        <v>11265120</v>
      </c>
      <c r="V246" s="42">
        <f>SUM(P244+S244+V244+M244+J244)</f>
        <v>3882099</v>
      </c>
      <c r="W246" s="2">
        <f>SUM(V246/U246)</f>
        <v>0.34461230772508417</v>
      </c>
      <c r="X246" s="42">
        <f>SUM(R244+U244+X244+L244+O244+I244)</f>
        <v>13510120</v>
      </c>
      <c r="Y246" s="42">
        <f>SUM(S244+V244+Y244+P244+M244+J244)</f>
        <v>4567291</v>
      </c>
      <c r="Z246" s="2">
        <f>SUM(Y246/X246)</f>
        <v>0.338064428739345</v>
      </c>
      <c r="AA246" s="42">
        <f>SUM(L244+I244+U244+X244+AA244+O244+R244)</f>
        <v>22584620</v>
      </c>
      <c r="AB246" s="42">
        <f>SUM(M244+J244+V244+Y244+AB244+S244+P244)</f>
        <v>8357001</v>
      </c>
      <c r="AC246" s="2">
        <f>SUM(AB246/AA246)</f>
        <v>0.37003062260954578</v>
      </c>
      <c r="AD246" s="42">
        <f>SUM(O244+L244+I244+X244+AA244+AD244+R244+U244)</f>
        <v>27778220</v>
      </c>
      <c r="AE246" s="42">
        <f>SUM(P244+M244+J244+Y244+AB244+AE244+V244+S244)</f>
        <v>9940026</v>
      </c>
      <c r="AF246" s="2">
        <f>SUM(AE246/AD246)</f>
        <v>0.35783523926299093</v>
      </c>
      <c r="AG246" s="42">
        <f>SUM(R244+O244+L244+I244+AA244+AD244+AG244+U244+X244)</f>
        <v>30718220</v>
      </c>
      <c r="AH246" s="42">
        <f>SUM(S244+P244+M244+J244+AB244+AE244+AH244+Y244+V244)</f>
        <v>10823326</v>
      </c>
      <c r="AI246" s="2">
        <f>SUM(AH246/AG246)</f>
        <v>0.35234222555864242</v>
      </c>
      <c r="AJ246" s="42">
        <f>SUM(U244+R244+O244+L244+I244+AD244+AG244+AJ244+X244+AA244)</f>
        <v>30718220</v>
      </c>
      <c r="AK246" s="42">
        <f>SUM(V244+S244+P244+M244+J244+AE244+AH244+AK244+AB244+Y244)</f>
        <v>10823326</v>
      </c>
      <c r="AL246" s="2">
        <f>SUM(AK246/AJ246)</f>
        <v>0.35234222555864242</v>
      </c>
      <c r="AM246" s="42">
        <f>SUM(X244+U244+R244+O244+L244+I244+AG244+AJ244+AM244+AA244+AD244)</f>
        <v>30718220</v>
      </c>
      <c r="AN246" s="42">
        <f>SUM(Y244+V244+S244+P244+M244+J244+AH244+AK244+AN244+AE244+AB244)</f>
        <v>10823326</v>
      </c>
      <c r="AO246" s="2">
        <f>SUM(AN246/AM246)</f>
        <v>0.35234222555864242</v>
      </c>
      <c r="AP246" s="42">
        <f>SUM(AA244+X244+U244+R244+O244+L244+I244+AJ244+AM244+AP244+AD244+AG244)</f>
        <v>30718220</v>
      </c>
      <c r="AQ246" s="42">
        <f>SUM(AB244+Y244+V244+S244+P244+M244+J244+AK244+AN244+AQ244+AH244+AE244)</f>
        <v>10823326</v>
      </c>
      <c r="AR246" s="2">
        <f>SUM(AQ246/AP246)</f>
        <v>0.35234222555864242</v>
      </c>
    </row>
    <row r="247" spans="2:44" x14ac:dyDescent="0.55000000000000004">
      <c r="F247" s="48">
        <f>SUM(F245/F242)</f>
        <v>0.47575059340659342</v>
      </c>
      <c r="L247" s="42"/>
      <c r="M247" s="42"/>
      <c r="N247">
        <f>SUM(K245+N245)</f>
        <v>11</v>
      </c>
      <c r="O247" s="42"/>
      <c r="P247" s="42"/>
      <c r="Q247">
        <f>SUM(K245+N245+Q245)</f>
        <v>15</v>
      </c>
      <c r="R247" s="42"/>
      <c r="S247" s="42"/>
      <c r="T247">
        <f>SUM(N245+K245+Q245+T245)</f>
        <v>20</v>
      </c>
      <c r="U247" s="42"/>
      <c r="V247" s="42"/>
      <c r="W247">
        <f>SUM(Q245+N245+K245+T245+W245)</f>
        <v>25</v>
      </c>
      <c r="X247" s="42"/>
      <c r="Y247" s="42"/>
      <c r="Z247">
        <f>SUM(T245+Q245+N245+K245+W245+Z245)</f>
        <v>30</v>
      </c>
      <c r="AA247" s="42"/>
      <c r="AB247" s="42"/>
      <c r="AC247">
        <f>SUM(W245+T245+Q245+N245+K245+Z245+AC245)</f>
        <v>40</v>
      </c>
      <c r="AD247" s="42"/>
      <c r="AE247" s="42"/>
      <c r="AF247">
        <f>SUM(Z245+W245+T245+Q245+N245+K245+AC245+AF245)</f>
        <v>52</v>
      </c>
      <c r="AG247" s="42"/>
      <c r="AH247" s="42"/>
      <c r="AI247">
        <f>SUM(AC245+Z245+W245+T245+Q245+N245+K245+AF245+AI245)</f>
        <v>54</v>
      </c>
      <c r="AJ247" s="42"/>
      <c r="AK247" s="42"/>
      <c r="AL247">
        <f>SUM(AF245+AC245+Z245+W245+T245+Q245+N245+K245+AI245+AL245)</f>
        <v>54</v>
      </c>
      <c r="AM247" s="42"/>
      <c r="AN247" s="42"/>
      <c r="AO247">
        <f>SUM(AI245+AF245+AC245+Z245+W245+T245+Q245+N245+K245+AL245+AO245)</f>
        <v>54</v>
      </c>
      <c r="AP247" s="42"/>
      <c r="AQ247" s="42"/>
      <c r="AR247">
        <f>SUM(AL245+AI245+AF245+AC245+Z245+W245+T245+Q245+N245+K245+AO245+AR245)</f>
        <v>54</v>
      </c>
    </row>
    <row r="248" spans="2:44" x14ac:dyDescent="0.55000000000000004">
      <c r="L248" s="42"/>
      <c r="M248" s="42"/>
      <c r="N248" s="41"/>
      <c r="O248" s="42"/>
      <c r="P248" s="42"/>
      <c r="Q248" s="41"/>
      <c r="R248" s="42"/>
      <c r="S248" s="42"/>
      <c r="T248" s="41"/>
      <c r="U248" s="42"/>
      <c r="V248" s="42"/>
      <c r="W248" s="41"/>
      <c r="X248" s="42"/>
      <c r="Y248" s="42"/>
      <c r="Z248" s="41"/>
      <c r="AA248" s="42"/>
      <c r="AB248" s="42"/>
      <c r="AC248" s="41"/>
      <c r="AD248" s="42"/>
      <c r="AE248" s="42"/>
      <c r="AF248" s="41"/>
      <c r="AG248" s="42"/>
      <c r="AH248" s="42"/>
      <c r="AI248" s="41"/>
      <c r="AJ248" s="42"/>
      <c r="AK248" s="42"/>
      <c r="AL248" s="41"/>
      <c r="AM248" s="42"/>
      <c r="AN248" s="42"/>
      <c r="AO248" s="41"/>
      <c r="AP248" s="42"/>
      <c r="AQ248" s="42"/>
      <c r="AR248" s="41"/>
    </row>
    <row r="249" spans="2:44" x14ac:dyDescent="0.55000000000000004">
      <c r="E249" t="s">
        <v>72</v>
      </c>
      <c r="F249">
        <f>SUM(K249+T249+T250+Z249+AC249+AC250+AC251+AF249+AF250+AF251+AI249)</f>
        <v>799</v>
      </c>
      <c r="I249" t="s">
        <v>73</v>
      </c>
      <c r="J249" t="s">
        <v>98</v>
      </c>
      <c r="K249">
        <v>43</v>
      </c>
      <c r="L249" s="42" t="s">
        <v>73</v>
      </c>
      <c r="M249" s="42"/>
      <c r="N249" s="41"/>
      <c r="O249" s="42" t="s">
        <v>73</v>
      </c>
      <c r="P249" s="42"/>
      <c r="Q249" s="41"/>
      <c r="R249" s="42" t="s">
        <v>73</v>
      </c>
      <c r="S249" s="42" t="s">
        <v>87</v>
      </c>
      <c r="T249">
        <v>130</v>
      </c>
      <c r="U249" s="42" t="s">
        <v>73</v>
      </c>
      <c r="V249" s="42"/>
      <c r="W249" s="41"/>
      <c r="X249" s="42" t="s">
        <v>73</v>
      </c>
      <c r="Y249" s="42" t="s">
        <v>92</v>
      </c>
      <c r="Z249">
        <v>30</v>
      </c>
      <c r="AA249" s="42" t="s">
        <v>73</v>
      </c>
      <c r="AB249" s="42" t="s">
        <v>87</v>
      </c>
      <c r="AC249">
        <v>127</v>
      </c>
      <c r="AD249" s="42" t="s">
        <v>73</v>
      </c>
      <c r="AE249" s="42" t="s">
        <v>85</v>
      </c>
      <c r="AF249">
        <v>56</v>
      </c>
      <c r="AG249" s="42" t="s">
        <v>73</v>
      </c>
      <c r="AH249" s="42" t="s">
        <v>74</v>
      </c>
      <c r="AI249">
        <v>270</v>
      </c>
      <c r="AJ249" s="42"/>
      <c r="AK249" s="42"/>
      <c r="AL249" s="41"/>
      <c r="AM249" s="42"/>
      <c r="AN249" s="42"/>
      <c r="AO249" s="41"/>
      <c r="AP249" s="42"/>
      <c r="AQ249" s="42"/>
      <c r="AR249" s="41"/>
    </row>
    <row r="250" spans="2:44" x14ac:dyDescent="0.55000000000000004">
      <c r="E250" t="s">
        <v>22</v>
      </c>
      <c r="F250">
        <f>SUM(N250+W250+W251+AC252)</f>
        <v>186</v>
      </c>
      <c r="I250" t="s">
        <v>22</v>
      </c>
      <c r="L250" t="s">
        <v>22</v>
      </c>
      <c r="M250" t="s">
        <v>48</v>
      </c>
      <c r="N250">
        <v>73</v>
      </c>
      <c r="O250" t="s">
        <v>22</v>
      </c>
      <c r="S250" t="s">
        <v>96</v>
      </c>
      <c r="T250">
        <v>7</v>
      </c>
      <c r="U250" t="s">
        <v>22</v>
      </c>
      <c r="V250" t="s">
        <v>95</v>
      </c>
      <c r="W250">
        <v>11</v>
      </c>
      <c r="X250" t="s">
        <v>22</v>
      </c>
      <c r="AB250" t="s">
        <v>57</v>
      </c>
      <c r="AC250">
        <v>52</v>
      </c>
      <c r="AE250" t="s">
        <v>86</v>
      </c>
      <c r="AF250">
        <v>33</v>
      </c>
    </row>
    <row r="251" spans="2:44" x14ac:dyDescent="0.55000000000000004">
      <c r="E251" t="s">
        <v>23</v>
      </c>
      <c r="F251">
        <f>SUM(K251+K252+Q251+Q252+Q253+T252+W252+Z251+AC253+AF253+AF254+AI253)</f>
        <v>343</v>
      </c>
      <c r="I251" t="s">
        <v>23</v>
      </c>
      <c r="J251" t="s">
        <v>57</v>
      </c>
      <c r="K251">
        <v>16</v>
      </c>
      <c r="M251" t="s">
        <v>57</v>
      </c>
      <c r="N251">
        <v>32</v>
      </c>
      <c r="O251" t="s">
        <v>23</v>
      </c>
      <c r="P251" t="s">
        <v>96</v>
      </c>
      <c r="Q251">
        <v>10</v>
      </c>
      <c r="R251" t="s">
        <v>22</v>
      </c>
      <c r="V251" t="s">
        <v>89</v>
      </c>
      <c r="W251">
        <v>60</v>
      </c>
      <c r="X251" t="s">
        <v>23</v>
      </c>
      <c r="Y251" t="s">
        <v>57</v>
      </c>
      <c r="Z251">
        <v>29</v>
      </c>
      <c r="AB251" t="s">
        <v>88</v>
      </c>
      <c r="AC251">
        <v>27</v>
      </c>
      <c r="AE251" t="s">
        <v>82</v>
      </c>
      <c r="AF251">
        <v>24</v>
      </c>
    </row>
    <row r="252" spans="2:44" x14ac:dyDescent="0.55000000000000004">
      <c r="E252" t="s">
        <v>76</v>
      </c>
      <c r="F252">
        <f>SUM(K253+N253+W253+Z252+AC254+AC255+AF255+AF256)</f>
        <v>296</v>
      </c>
      <c r="J252" t="s">
        <v>57</v>
      </c>
      <c r="K252">
        <v>28</v>
      </c>
      <c r="L252" t="s">
        <v>23</v>
      </c>
      <c r="P252" t="s">
        <v>58</v>
      </c>
      <c r="Q252">
        <v>26</v>
      </c>
      <c r="R252" t="s">
        <v>23</v>
      </c>
      <c r="S252" t="s">
        <v>57</v>
      </c>
      <c r="T252">
        <v>27</v>
      </c>
      <c r="U252" t="s">
        <v>23</v>
      </c>
      <c r="V252" t="s">
        <v>59</v>
      </c>
      <c r="W252">
        <v>26</v>
      </c>
      <c r="X252" s="42" t="s">
        <v>24</v>
      </c>
      <c r="Y252" t="s">
        <v>93</v>
      </c>
      <c r="Z252">
        <v>50</v>
      </c>
      <c r="AA252" t="s">
        <v>22</v>
      </c>
      <c r="AB252" s="42" t="s">
        <v>89</v>
      </c>
      <c r="AC252">
        <v>42</v>
      </c>
      <c r="AD252" t="s">
        <v>22</v>
      </c>
    </row>
    <row r="253" spans="2:44" x14ac:dyDescent="0.55000000000000004">
      <c r="E253" t="s">
        <v>25</v>
      </c>
      <c r="F253">
        <f>SUM(K254+K255+N254+Q255+T254+W254+Z253+Z254+AC256+AF257)</f>
        <v>902</v>
      </c>
      <c r="I253" t="s">
        <v>24</v>
      </c>
      <c r="J253" t="s">
        <v>82</v>
      </c>
      <c r="K253">
        <v>26</v>
      </c>
      <c r="L253" t="s">
        <v>24</v>
      </c>
      <c r="M253" t="s">
        <v>57</v>
      </c>
      <c r="N253">
        <v>16</v>
      </c>
      <c r="P253" t="s">
        <v>58</v>
      </c>
      <c r="Q253">
        <v>23</v>
      </c>
      <c r="R253" t="s">
        <v>24</v>
      </c>
      <c r="U253" t="s">
        <v>24</v>
      </c>
      <c r="V253" t="s">
        <v>82</v>
      </c>
      <c r="W253">
        <v>56</v>
      </c>
      <c r="X253" s="42" t="s">
        <v>25</v>
      </c>
      <c r="Y253" t="s">
        <v>94</v>
      </c>
      <c r="Z253">
        <v>90</v>
      </c>
      <c r="AA253" t="s">
        <v>23</v>
      </c>
      <c r="AB253" s="42" t="s">
        <v>57</v>
      </c>
      <c r="AC253">
        <v>29</v>
      </c>
      <c r="AD253" t="s">
        <v>23</v>
      </c>
      <c r="AE253" t="s">
        <v>65</v>
      </c>
      <c r="AF253">
        <v>75</v>
      </c>
      <c r="AG253" t="s">
        <v>23</v>
      </c>
      <c r="AH253" t="s">
        <v>75</v>
      </c>
      <c r="AI253">
        <v>24</v>
      </c>
    </row>
    <row r="254" spans="2:44" x14ac:dyDescent="0.55000000000000004">
      <c r="E254" t="s">
        <v>77</v>
      </c>
      <c r="F254">
        <f>SUM(AF258)</f>
        <v>26</v>
      </c>
      <c r="I254" t="s">
        <v>25</v>
      </c>
      <c r="J254" t="s">
        <v>57</v>
      </c>
      <c r="K254">
        <v>34</v>
      </c>
      <c r="L254" t="s">
        <v>25</v>
      </c>
      <c r="M254" t="s">
        <v>50</v>
      </c>
      <c r="N254">
        <v>84</v>
      </c>
      <c r="O254" t="s">
        <v>24</v>
      </c>
      <c r="R254" t="s">
        <v>25</v>
      </c>
      <c r="S254" t="s">
        <v>97</v>
      </c>
      <c r="T254">
        <v>44</v>
      </c>
      <c r="U254" t="s">
        <v>25</v>
      </c>
      <c r="V254" t="s">
        <v>50</v>
      </c>
      <c r="W254">
        <v>150</v>
      </c>
      <c r="Y254" t="s">
        <v>95</v>
      </c>
      <c r="Z254">
        <v>26</v>
      </c>
      <c r="AA254" t="s">
        <v>24</v>
      </c>
      <c r="AB254" s="42" t="s">
        <v>81</v>
      </c>
      <c r="AC254">
        <v>30</v>
      </c>
      <c r="AE254" t="s">
        <v>48</v>
      </c>
      <c r="AF254">
        <v>30</v>
      </c>
    </row>
    <row r="255" spans="2:44" x14ac:dyDescent="0.55000000000000004">
      <c r="E255" t="s">
        <v>79</v>
      </c>
      <c r="J255" t="s">
        <v>64</v>
      </c>
      <c r="K255">
        <v>44</v>
      </c>
      <c r="O255" t="s">
        <v>25</v>
      </c>
      <c r="P255" t="s">
        <v>64</v>
      </c>
      <c r="Q255">
        <v>44</v>
      </c>
      <c r="R255" t="s">
        <v>78</v>
      </c>
      <c r="AB255" s="42" t="s">
        <v>82</v>
      </c>
      <c r="AC255">
        <v>24</v>
      </c>
      <c r="AD255" s="42" t="s">
        <v>24</v>
      </c>
      <c r="AE255" t="s">
        <v>81</v>
      </c>
      <c r="AF255">
        <v>70</v>
      </c>
    </row>
    <row r="256" spans="2:44" x14ac:dyDescent="0.55000000000000004">
      <c r="E256" t="s">
        <v>27</v>
      </c>
      <c r="F256">
        <f>SUM(T257+AC259+AF260)</f>
        <v>291</v>
      </c>
      <c r="I256" t="s">
        <v>28</v>
      </c>
      <c r="J256" t="s">
        <v>58</v>
      </c>
      <c r="K256">
        <v>28</v>
      </c>
      <c r="R256" t="s">
        <v>79</v>
      </c>
      <c r="AA256" t="s">
        <v>25</v>
      </c>
      <c r="AB256" s="42" t="s">
        <v>90</v>
      </c>
      <c r="AC256">
        <v>370</v>
      </c>
      <c r="AD256" s="42"/>
      <c r="AE256" t="s">
        <v>82</v>
      </c>
      <c r="AF256">
        <v>24</v>
      </c>
    </row>
    <row r="257" spans="1:44" x14ac:dyDescent="0.55000000000000004">
      <c r="E257" t="s">
        <v>28</v>
      </c>
      <c r="F257">
        <f>SUM(K256+AC260+AF261+AF262)</f>
        <v>181</v>
      </c>
      <c r="R257" t="s">
        <v>27</v>
      </c>
      <c r="S257" t="s">
        <v>84</v>
      </c>
      <c r="T257">
        <v>97</v>
      </c>
      <c r="AA257" t="s">
        <v>78</v>
      </c>
      <c r="AD257" s="42" t="s">
        <v>25</v>
      </c>
      <c r="AE257" t="s">
        <v>80</v>
      </c>
      <c r="AF257">
        <v>16</v>
      </c>
    </row>
    <row r="258" spans="1:44" x14ac:dyDescent="0.55000000000000004">
      <c r="AA258" t="s">
        <v>79</v>
      </c>
      <c r="AD258" s="42" t="s">
        <v>78</v>
      </c>
      <c r="AE258" t="s">
        <v>83</v>
      </c>
      <c r="AF258">
        <v>26</v>
      </c>
    </row>
    <row r="259" spans="1:44" x14ac:dyDescent="0.55000000000000004">
      <c r="AA259" t="s">
        <v>27</v>
      </c>
      <c r="AB259" s="42" t="s">
        <v>84</v>
      </c>
      <c r="AC259">
        <v>97</v>
      </c>
      <c r="AD259" s="42" t="s">
        <v>79</v>
      </c>
    </row>
    <row r="260" spans="1:44" x14ac:dyDescent="0.55000000000000004">
      <c r="AA260" t="s">
        <v>28</v>
      </c>
      <c r="AB260" s="42" t="s">
        <v>91</v>
      </c>
      <c r="AC260">
        <v>110</v>
      </c>
      <c r="AD260" s="42" t="s">
        <v>27</v>
      </c>
      <c r="AE260" t="s">
        <v>84</v>
      </c>
      <c r="AF260">
        <v>97</v>
      </c>
    </row>
    <row r="261" spans="1:44" x14ac:dyDescent="0.55000000000000004">
      <c r="AD261" s="42" t="s">
        <v>28</v>
      </c>
      <c r="AE261" t="s">
        <v>48</v>
      </c>
      <c r="AF261">
        <v>24</v>
      </c>
    </row>
    <row r="262" spans="1:44" x14ac:dyDescent="0.55000000000000004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 t="s">
        <v>82</v>
      </c>
      <c r="AF262" s="56">
        <v>19</v>
      </c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</row>
    <row r="263" spans="1:44" x14ac:dyDescent="0.55000000000000004">
      <c r="G263" s="55" t="s">
        <v>163</v>
      </c>
      <c r="H263" s="55"/>
    </row>
    <row r="265" spans="1:44" x14ac:dyDescent="0.55000000000000004">
      <c r="G265" s="49"/>
      <c r="H265" s="51" t="s">
        <v>143</v>
      </c>
      <c r="I265" s="52"/>
      <c r="O265" s="49"/>
      <c r="P265" s="51" t="s">
        <v>144</v>
      </c>
      <c r="Q265" s="52"/>
      <c r="W265" s="49"/>
      <c r="X265" s="51" t="s">
        <v>145</v>
      </c>
      <c r="Y265" s="52"/>
      <c r="AE265" s="49"/>
      <c r="AF265" s="51" t="s">
        <v>146</v>
      </c>
      <c r="AG265" s="52"/>
    </row>
    <row r="266" spans="1:44" x14ac:dyDescent="0.55000000000000004">
      <c r="G266" s="50"/>
      <c r="H266" s="53"/>
      <c r="I266" s="54"/>
      <c r="J266" t="s">
        <v>50</v>
      </c>
      <c r="K266" t="s">
        <v>147</v>
      </c>
      <c r="L266" t="s">
        <v>148</v>
      </c>
      <c r="M266" t="s">
        <v>57</v>
      </c>
      <c r="N266" t="s">
        <v>65</v>
      </c>
      <c r="O266" s="50"/>
      <c r="P266" s="53"/>
      <c r="Q266" s="54"/>
      <c r="R266" t="s">
        <v>50</v>
      </c>
      <c r="S266" t="s">
        <v>147</v>
      </c>
      <c r="T266" t="s">
        <v>148</v>
      </c>
      <c r="U266" t="s">
        <v>57</v>
      </c>
      <c r="V266" t="s">
        <v>65</v>
      </c>
      <c r="W266" s="50"/>
      <c r="X266" s="53"/>
      <c r="Y266" s="54"/>
      <c r="Z266" t="s">
        <v>50</v>
      </c>
      <c r="AA266" t="s">
        <v>147</v>
      </c>
      <c r="AB266" t="s">
        <v>148</v>
      </c>
      <c r="AC266" t="s">
        <v>57</v>
      </c>
      <c r="AD266" t="s">
        <v>65</v>
      </c>
      <c r="AE266" s="50"/>
      <c r="AF266" s="53"/>
      <c r="AG266" s="54"/>
      <c r="AH266" t="s">
        <v>50</v>
      </c>
      <c r="AI266" t="s">
        <v>147</v>
      </c>
      <c r="AJ266" t="s">
        <v>148</v>
      </c>
      <c r="AK266" t="s">
        <v>57</v>
      </c>
      <c r="AL266" t="s">
        <v>65</v>
      </c>
    </row>
    <row r="267" spans="1:44" x14ac:dyDescent="0.55000000000000004">
      <c r="G267" s="32" t="s">
        <v>72</v>
      </c>
      <c r="H267" s="12">
        <v>864</v>
      </c>
      <c r="I267" s="14"/>
      <c r="J267" t="s">
        <v>149</v>
      </c>
      <c r="K267" t="s">
        <v>150</v>
      </c>
      <c r="L267" t="s">
        <v>151</v>
      </c>
      <c r="M267" t="s">
        <v>152</v>
      </c>
      <c r="N267">
        <v>0</v>
      </c>
      <c r="O267" s="32" t="s">
        <v>72</v>
      </c>
      <c r="P267" s="12">
        <v>762</v>
      </c>
      <c r="Q267" s="14"/>
      <c r="R267" t="s">
        <v>149</v>
      </c>
      <c r="S267" t="s">
        <v>150</v>
      </c>
      <c r="T267" t="s">
        <v>151</v>
      </c>
      <c r="U267" t="s">
        <v>152</v>
      </c>
      <c r="V267">
        <v>0</v>
      </c>
      <c r="W267" s="32" t="s">
        <v>72</v>
      </c>
      <c r="X267" s="12">
        <v>1386</v>
      </c>
      <c r="Y267" s="14"/>
      <c r="Z267" t="s">
        <v>149</v>
      </c>
      <c r="AA267" t="s">
        <v>150</v>
      </c>
      <c r="AB267" t="s">
        <v>151</v>
      </c>
      <c r="AC267" t="s">
        <v>152</v>
      </c>
      <c r="AD267">
        <v>0</v>
      </c>
      <c r="AE267" s="32" t="s">
        <v>72</v>
      </c>
      <c r="AF267" s="12">
        <v>799</v>
      </c>
      <c r="AG267" s="14"/>
      <c r="AH267" t="s">
        <v>149</v>
      </c>
      <c r="AI267" t="s">
        <v>150</v>
      </c>
      <c r="AJ267" t="s">
        <v>151</v>
      </c>
      <c r="AK267" t="s">
        <v>152</v>
      </c>
      <c r="AL267">
        <v>0</v>
      </c>
    </row>
    <row r="268" spans="1:44" x14ac:dyDescent="0.55000000000000004">
      <c r="G268" s="32" t="s">
        <v>22</v>
      </c>
      <c r="H268" s="12">
        <v>204</v>
      </c>
      <c r="I268" s="14"/>
      <c r="J268" t="s">
        <v>153</v>
      </c>
      <c r="K268" t="s">
        <v>154</v>
      </c>
      <c r="L268" t="s">
        <v>155</v>
      </c>
      <c r="M268" t="s">
        <v>156</v>
      </c>
      <c r="N268">
        <v>0</v>
      </c>
      <c r="O268" s="32" t="s">
        <v>22</v>
      </c>
      <c r="P268" s="12">
        <v>111</v>
      </c>
      <c r="Q268" s="14"/>
      <c r="R268" t="s">
        <v>153</v>
      </c>
      <c r="S268" t="s">
        <v>157</v>
      </c>
      <c r="T268" t="s">
        <v>153</v>
      </c>
      <c r="U268" t="s">
        <v>158</v>
      </c>
      <c r="V268">
        <v>0</v>
      </c>
      <c r="W268" s="32" t="s">
        <v>22</v>
      </c>
      <c r="X268" s="12">
        <v>302</v>
      </c>
      <c r="Y268" s="14"/>
      <c r="Z268" t="s">
        <v>153</v>
      </c>
      <c r="AA268" t="s">
        <v>159</v>
      </c>
      <c r="AB268" t="s">
        <v>160</v>
      </c>
      <c r="AC268" t="s">
        <v>161</v>
      </c>
      <c r="AD268">
        <v>0</v>
      </c>
      <c r="AE268" s="32" t="s">
        <v>22</v>
      </c>
      <c r="AF268" s="12">
        <v>186</v>
      </c>
      <c r="AG268" s="14"/>
      <c r="AH268" t="s">
        <v>153</v>
      </c>
      <c r="AI268" t="s">
        <v>162</v>
      </c>
      <c r="AJ268" t="s">
        <v>153</v>
      </c>
      <c r="AK268" t="s">
        <v>153</v>
      </c>
      <c r="AL268">
        <v>0</v>
      </c>
    </row>
    <row r="269" spans="1:44" x14ac:dyDescent="0.55000000000000004">
      <c r="G269" s="32" t="s">
        <v>23</v>
      </c>
      <c r="H269" s="12">
        <v>1048</v>
      </c>
      <c r="I269" s="14"/>
      <c r="J269" t="s">
        <v>153</v>
      </c>
      <c r="K269" t="s">
        <v>164</v>
      </c>
      <c r="L269" t="s">
        <v>165</v>
      </c>
      <c r="M269" t="s">
        <v>166</v>
      </c>
      <c r="N269" t="s">
        <v>167</v>
      </c>
      <c r="O269" s="32" t="s">
        <v>23</v>
      </c>
      <c r="P269" s="12">
        <v>1203</v>
      </c>
      <c r="Q269" s="14"/>
      <c r="R269" t="s">
        <v>168</v>
      </c>
      <c r="S269" t="s">
        <v>170</v>
      </c>
      <c r="T269" t="s">
        <v>171</v>
      </c>
      <c r="U269" t="s">
        <v>172</v>
      </c>
      <c r="V269" t="s">
        <v>169</v>
      </c>
      <c r="W269" s="32" t="s">
        <v>23</v>
      </c>
      <c r="X269" s="12">
        <v>776</v>
      </c>
      <c r="Y269" s="14"/>
      <c r="Z269" t="s">
        <v>153</v>
      </c>
      <c r="AA269" t="s">
        <v>151</v>
      </c>
      <c r="AB269" t="s">
        <v>173</v>
      </c>
      <c r="AC269" t="s">
        <v>174</v>
      </c>
      <c r="AD269" t="s">
        <v>175</v>
      </c>
      <c r="AE269" s="32" t="s">
        <v>23</v>
      </c>
      <c r="AF269" s="12">
        <v>343</v>
      </c>
      <c r="AG269" s="14"/>
      <c r="AH269" t="s">
        <v>153</v>
      </c>
      <c r="AI269" t="s">
        <v>176</v>
      </c>
      <c r="AJ269" t="s">
        <v>177</v>
      </c>
      <c r="AK269" t="s">
        <v>178</v>
      </c>
      <c r="AL269" t="s">
        <v>179</v>
      </c>
    </row>
    <row r="270" spans="1:44" x14ac:dyDescent="0.55000000000000004">
      <c r="G270" s="32" t="s">
        <v>76</v>
      </c>
      <c r="H270" s="12">
        <v>1066</v>
      </c>
      <c r="I270" s="14"/>
      <c r="J270" t="s">
        <v>180</v>
      </c>
      <c r="K270" t="s">
        <v>181</v>
      </c>
      <c r="L270" t="s">
        <v>182</v>
      </c>
      <c r="N270" t="s">
        <v>183</v>
      </c>
      <c r="O270" s="32" t="s">
        <v>76</v>
      </c>
      <c r="P270" s="12">
        <v>1098</v>
      </c>
      <c r="Q270" s="14"/>
      <c r="R270" t="s">
        <v>184</v>
      </c>
      <c r="S270" t="s">
        <v>185</v>
      </c>
      <c r="T270" t="s">
        <v>186</v>
      </c>
      <c r="U270" t="s">
        <v>157</v>
      </c>
      <c r="W270" s="32" t="s">
        <v>76</v>
      </c>
      <c r="X270" s="12">
        <v>2719</v>
      </c>
      <c r="Y270" s="14"/>
      <c r="Z270" t="s">
        <v>187</v>
      </c>
      <c r="AA270" t="s">
        <v>188</v>
      </c>
      <c r="AB270" t="s">
        <v>189</v>
      </c>
      <c r="AC270" t="s">
        <v>190</v>
      </c>
      <c r="AD270" t="s">
        <v>191</v>
      </c>
      <c r="AE270" s="32" t="s">
        <v>76</v>
      </c>
      <c r="AF270" s="12">
        <v>296</v>
      </c>
      <c r="AG270" s="14"/>
      <c r="AH270" t="s">
        <v>153</v>
      </c>
      <c r="AI270" t="s">
        <v>192</v>
      </c>
      <c r="AJ270" t="s">
        <v>193</v>
      </c>
      <c r="AK270" t="s">
        <v>194</v>
      </c>
    </row>
    <row r="271" spans="1:44" x14ac:dyDescent="0.55000000000000004">
      <c r="G271" s="32" t="s">
        <v>25</v>
      </c>
      <c r="H271" s="12">
        <v>656</v>
      </c>
      <c r="I271" s="14"/>
      <c r="O271" s="32" t="s">
        <v>25</v>
      </c>
      <c r="P271" s="12">
        <v>571</v>
      </c>
      <c r="Q271" s="14"/>
      <c r="W271" s="32" t="s">
        <v>25</v>
      </c>
      <c r="X271" s="12">
        <v>353</v>
      </c>
      <c r="Y271" s="14"/>
      <c r="AE271" s="32" t="s">
        <v>25</v>
      </c>
      <c r="AF271" s="12">
        <v>902</v>
      </c>
      <c r="AG271" s="14"/>
    </row>
    <row r="272" spans="1:44" x14ac:dyDescent="0.55000000000000004">
      <c r="G272" s="32" t="s">
        <v>77</v>
      </c>
      <c r="H272" s="12">
        <v>274</v>
      </c>
      <c r="I272" s="14"/>
      <c r="O272" s="32" t="s">
        <v>77</v>
      </c>
      <c r="P272" s="12">
        <v>268</v>
      </c>
      <c r="Q272" s="14"/>
      <c r="W272" s="32" t="s">
        <v>77</v>
      </c>
      <c r="X272" s="12">
        <v>666</v>
      </c>
      <c r="Y272" s="14"/>
      <c r="AE272" s="32" t="s">
        <v>77</v>
      </c>
      <c r="AF272" s="12">
        <v>26</v>
      </c>
      <c r="AG272" s="14"/>
    </row>
    <row r="273" spans="2:33" x14ac:dyDescent="0.55000000000000004">
      <c r="G273" s="32" t="s">
        <v>79</v>
      </c>
      <c r="H273" s="12">
        <v>32</v>
      </c>
      <c r="I273" s="14"/>
      <c r="O273" s="32" t="s">
        <v>79</v>
      </c>
      <c r="P273" s="12">
        <v>128</v>
      </c>
      <c r="Q273" s="14"/>
      <c r="W273" s="32" t="s">
        <v>79</v>
      </c>
      <c r="X273" s="12">
        <v>15</v>
      </c>
      <c r="Y273" s="14"/>
      <c r="AE273" s="32" t="s">
        <v>79</v>
      </c>
      <c r="AF273" s="12"/>
      <c r="AG273" s="14"/>
    </row>
    <row r="274" spans="2:33" x14ac:dyDescent="0.55000000000000004">
      <c r="G274" s="32" t="s">
        <v>27</v>
      </c>
      <c r="H274" s="12"/>
      <c r="I274" s="14"/>
      <c r="O274" s="32" t="s">
        <v>27</v>
      </c>
      <c r="P274" s="12">
        <v>23</v>
      </c>
      <c r="Q274" s="14"/>
      <c r="W274" s="32" t="s">
        <v>27</v>
      </c>
      <c r="X274" s="12">
        <v>331</v>
      </c>
      <c r="Y274" s="14"/>
      <c r="AE274" s="32" t="s">
        <v>27</v>
      </c>
      <c r="AF274" s="12">
        <v>291</v>
      </c>
      <c r="AG274" s="14"/>
    </row>
    <row r="275" spans="2:33" x14ac:dyDescent="0.55000000000000004">
      <c r="G275" s="32" t="s">
        <v>28</v>
      </c>
      <c r="H275" s="12">
        <v>1036</v>
      </c>
      <c r="I275" s="14"/>
      <c r="O275" s="32" t="s">
        <v>28</v>
      </c>
      <c r="P275" s="12">
        <v>1340</v>
      </c>
      <c r="Q275" s="14"/>
      <c r="W275" s="32" t="s">
        <v>28</v>
      </c>
      <c r="X275" s="12">
        <v>898</v>
      </c>
      <c r="Y275" s="14"/>
      <c r="AE275" s="32" t="s">
        <v>28</v>
      </c>
      <c r="AF275" s="12">
        <v>181</v>
      </c>
      <c r="AG275" s="14"/>
    </row>
    <row r="281" spans="2:33" x14ac:dyDescent="0.55000000000000004">
      <c r="B281" t="s">
        <v>32</v>
      </c>
    </row>
    <row r="282" spans="2:33" x14ac:dyDescent="0.55000000000000004">
      <c r="B282" t="s">
        <v>33</v>
      </c>
    </row>
    <row r="283" spans="2:33" x14ac:dyDescent="0.55000000000000004">
      <c r="B283" t="s">
        <v>34</v>
      </c>
    </row>
    <row r="284" spans="2:33" x14ac:dyDescent="0.55000000000000004">
      <c r="B284" t="s">
        <v>35</v>
      </c>
    </row>
  </sheetData>
  <mergeCells count="10">
    <mergeCell ref="A82:B83"/>
    <mergeCell ref="A98:B99"/>
    <mergeCell ref="A114:B115"/>
    <mergeCell ref="A131:B132"/>
    <mergeCell ref="A164:B165"/>
    <mergeCell ref="A2:B3"/>
    <mergeCell ref="A18:B19"/>
    <mergeCell ref="A34:B35"/>
    <mergeCell ref="A50:B51"/>
    <mergeCell ref="A66:B67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福本 邦彦</dc:creator>
  <cp:lastModifiedBy>野口 裕二</cp:lastModifiedBy>
  <dcterms:created xsi:type="dcterms:W3CDTF">2026-04-10T10:02:36Z</dcterms:created>
  <dcterms:modified xsi:type="dcterms:W3CDTF">2026-06-13T06:30:18Z</dcterms:modified>
</cp:coreProperties>
</file>